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15" yWindow="0" windowWidth="13755" windowHeight="15600" tabRatio="600" firstSheet="0" activeTab="1" autoFilterDateGrouping="1"/>
  </bookViews>
  <sheets>
    <sheet name="ACCURACY STALL" sheetId="1" state="visible" r:id="rId1"/>
    <sheet name="CAM OUTPUT STALL" sheetId="2" state="visible" r:id="rId2"/>
    <sheet name="ACCURACY AUTOPILOT" sheetId="3" state="visible" r:id="rId3"/>
    <sheet name="CAM OUTPUT AUTOPILOT" sheetId="4" state="visible" r:id="rId4"/>
    <sheet name="ACCURACY FLAP" sheetId="5" state="visible" r:id="rId5"/>
    <sheet name="CAM OUTPUT FLAP" sheetId="6" state="visible" r:id="rId6"/>
  </sheets>
  <definedNames>
    <definedName name="_xlnm.Print_Titles" localSheetId="0">'ACCURACY STALL'!$7:$10</definedName>
    <definedName name="_xlnm.Print_Titles" localSheetId="1">'CAM OUTPUT STALL'!$7:$10</definedName>
    <definedName name="_xlnm.Print_Titles" localSheetId="2">'ACCURACY AUTOPILOT'!$7:$10</definedName>
    <definedName name="_xlnm.Print_Titles" localSheetId="3">'CAM OUTPUT AUTOPILOT'!$7:$10</definedName>
    <definedName name="_xlnm.Print_Titles" localSheetId="4">'ACCURACY FLAP'!$7:$10</definedName>
    <definedName name="_xlnm.Print_Titles" localSheetId="5">'CAM OUTPUT FLAP'!$7:$10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@* \:"/>
  </numFmts>
  <fonts count="11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Times New Roman"/>
      <family val="1"/>
      <sz val="10"/>
    </font>
    <font>
      <name val="Calibri"/>
      <family val="2"/>
      <color theme="0" tint="-0.249977111117893"/>
      <sz val="10"/>
    </font>
    <font>
      <name val="Calibri"/>
      <family val="2"/>
      <color theme="1"/>
      <sz val="10"/>
      <scheme val="minor"/>
    </font>
    <font>
      <name val="Times New Roman"/>
      <family val="1"/>
      <b val="1"/>
      <color theme="4"/>
      <sz val="10"/>
    </font>
    <font>
      <name val="Times New Roman"/>
      <family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sz val="11.5"/>
    </font>
    <font>
      <name val="Times New Roman"/>
      <family val="1"/>
      <sz val="1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pivotButton="0" quotePrefix="0" xfId="0"/>
    <xf numFmtId="0" fontId="4" fillId="0" borderId="0" pivotButton="0" quotePrefix="0" xfId="0"/>
    <xf numFmtId="1" fontId="2" fillId="0" borderId="1" applyAlignment="1" pivotButton="0" quotePrefix="0" xfId="1">
      <alignment horizontal="left" vertical="top" wrapText="1"/>
    </xf>
    <xf numFmtId="0" fontId="5" fillId="0" borderId="1" applyAlignment="1" pivotButton="0" quotePrefix="0" xfId="1">
      <alignment horizontal="left" vertical="top" wrapText="1"/>
    </xf>
    <xf numFmtId="2" fontId="6" fillId="0" borderId="1" applyAlignment="1" pivotButton="0" quotePrefix="0" xfId="0">
      <alignment horizontal="left" vertical="top" wrapText="1"/>
    </xf>
    <xf numFmtId="2" fontId="2" fillId="0" borderId="1" applyAlignment="1" applyProtection="1" pivotButton="0" quotePrefix="0" xfId="0">
      <alignment horizontal="left" vertical="top" wrapText="1"/>
      <protection locked="0" hidden="0"/>
    </xf>
    <xf numFmtId="0" fontId="4" fillId="0" borderId="1" applyAlignment="1" applyProtection="1" pivotButton="0" quotePrefix="0" xfId="0">
      <alignment horizontal="center"/>
      <protection locked="0" hidden="0"/>
    </xf>
    <xf numFmtId="2" fontId="4" fillId="0" borderId="1" applyProtection="1" pivotButton="0" quotePrefix="0" xfId="0">
      <protection locked="0" hidden="0"/>
    </xf>
    <xf numFmtId="2" fontId="3" fillId="0" borderId="0" pivotButton="0" quotePrefix="0" xfId="0"/>
    <xf numFmtId="2" fontId="6" fillId="0" borderId="1" applyAlignment="1" applyProtection="1" pivotButton="0" quotePrefix="0" xfId="0">
      <alignment horizontal="left" vertical="top" wrapText="1"/>
      <protection locked="0" hidden="0"/>
    </xf>
    <xf numFmtId="0" fontId="5" fillId="0" borderId="0" pivotButton="0" quotePrefix="0" xfId="0"/>
    <xf numFmtId="0" fontId="2" fillId="0" borderId="1" applyAlignment="1" applyProtection="1" pivotButton="0" quotePrefix="0" xfId="0">
      <alignment horizontal="left" vertical="top" wrapText="1"/>
      <protection locked="0" hidden="0"/>
    </xf>
    <xf numFmtId="1" fontId="2" fillId="0" borderId="1" applyAlignment="1" applyProtection="1" pivotButton="0" quotePrefix="0" xfId="0">
      <alignment horizontal="left" vertical="top" wrapText="1"/>
      <protection locked="0" hidden="0"/>
    </xf>
    <xf numFmtId="1" fontId="2" fillId="0" borderId="1" applyAlignment="1" pivotButton="0" quotePrefix="0" xfId="0">
      <alignment horizontal="left" vertical="top" wrapText="1"/>
    </xf>
    <xf numFmtId="2" fontId="6" fillId="0" borderId="1" applyAlignment="1" applyProtection="1" pivotButton="0" quotePrefix="0" xfId="0">
      <alignment horizontal="left" vertical="top"/>
      <protection locked="0" hidden="0"/>
    </xf>
    <xf numFmtId="0" fontId="4" fillId="0" borderId="1" applyAlignment="1" applyProtection="1" pivotButton="0" quotePrefix="0" xfId="0">
      <alignment horizontal="left" vertical="top" wrapText="1"/>
      <protection locked="0" hidden="0"/>
    </xf>
    <xf numFmtId="2" fontId="4" fillId="0" borderId="1" applyAlignment="1" applyProtection="1" pivotButton="0" quotePrefix="0" xfId="0">
      <alignment horizontal="left" vertical="top" wrapText="1"/>
      <protection locked="0" hidden="0"/>
    </xf>
    <xf numFmtId="0" fontId="4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5" pivotButton="0" quotePrefix="0" xfId="0"/>
    <xf numFmtId="0" fontId="4" fillId="0" borderId="11" applyAlignment="1" pivotButton="0" quotePrefix="0" xfId="0">
      <alignment vertical="center"/>
    </xf>
    <xf numFmtId="2" fontId="9" fillId="0" borderId="1" applyAlignment="1" applyProtection="1" pivotButton="0" quotePrefix="0" xfId="0">
      <alignment horizontal="left" vertical="top" wrapText="1"/>
      <protection locked="0" hidden="0"/>
    </xf>
    <xf numFmtId="2" fontId="0" fillId="0" borderId="1" applyAlignment="1" applyProtection="1" pivotButton="0" quotePrefix="0" xfId="0">
      <alignment horizontal="left"/>
      <protection locked="0" hidden="0"/>
    </xf>
    <xf numFmtId="2" fontId="0" fillId="0" borderId="1" applyAlignment="1" applyProtection="1" pivotButton="0" quotePrefix="0" xfId="0">
      <alignment horizontal="left" vertical="top"/>
      <protection locked="0" hidden="0"/>
    </xf>
    <xf numFmtId="2" fontId="10" fillId="0" borderId="1" applyAlignment="1" applyProtection="1" pivotButton="0" quotePrefix="0" xfId="0">
      <alignment horizontal="left" vertical="top" wrapText="1"/>
      <protection locked="0" hidden="0"/>
    </xf>
    <xf numFmtId="0" fontId="4" fillId="0" borderId="0" applyAlignment="1" pivotButton="0" quotePrefix="0" xfId="0">
      <alignment horizontal="center"/>
    </xf>
    <xf numFmtId="0" fontId="8" fillId="0" borderId="9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2" fillId="0" borderId="2" applyAlignment="1" applyProtection="1" pivotButton="0" quotePrefix="0" xfId="0">
      <alignment horizontal="center" vertical="center" wrapText="1"/>
      <protection locked="0" hidden="0"/>
    </xf>
    <xf numFmtId="0" fontId="2" fillId="0" borderId="4" applyAlignment="1" applyProtection="1" pivotButton="0" quotePrefix="0" xfId="0">
      <alignment horizontal="center" vertical="center" wrapText="1"/>
      <protection locked="0" hidden="0"/>
    </xf>
    <xf numFmtId="2" fontId="2" fillId="0" borderId="1" applyAlignment="1" applyProtection="1" pivotButton="0" quotePrefix="0" xfId="0">
      <alignment horizontal="center" vertical="center" wrapText="1"/>
      <protection locked="0" hidden="0"/>
    </xf>
    <xf numFmtId="2" fontId="2" fillId="0" borderId="2" applyAlignment="1" applyProtection="1" pivotButton="0" quotePrefix="0" xfId="0">
      <alignment horizontal="center" vertical="center" wrapText="1"/>
      <protection locked="0" hidden="0"/>
    </xf>
    <xf numFmtId="2" fontId="2" fillId="0" borderId="4" applyAlignment="1" applyProtection="1" pivotButton="0" quotePrefix="0" xfId="0">
      <alignment horizontal="center" vertical="center" wrapText="1"/>
      <protection locked="0" hidden="0"/>
    </xf>
    <xf numFmtId="2" fontId="2" fillId="0" borderId="2" applyAlignment="1" applyProtection="1" pivotButton="0" quotePrefix="0" xfId="0">
      <alignment horizontal="left" vertical="center" wrapText="1" indent="1"/>
      <protection locked="0" hidden="0"/>
    </xf>
    <xf numFmtId="2" fontId="2" fillId="0" borderId="4" applyAlignment="1" applyProtection="1" pivotButton="0" quotePrefix="0" xfId="0">
      <alignment horizontal="left" vertical="center" wrapText="1" indent="1"/>
      <protection locked="0" hidden="0"/>
    </xf>
    <xf numFmtId="2" fontId="3" fillId="0" borderId="3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8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5" pivotButton="0" quotePrefix="0" xfId="0"/>
    <xf numFmtId="0" fontId="7" fillId="0" borderId="12" applyAlignment="1" pivotButton="0" quotePrefix="0" xfId="0">
      <alignment horizontal="center" vertical="center"/>
    </xf>
    <xf numFmtId="2" fontId="2" fillId="0" borderId="1" applyAlignment="1" applyProtection="1" pivotButton="0" quotePrefix="0" xfId="0">
      <alignment horizontal="left" vertical="center" wrapText="1" inden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3" pivotButton="0" quotePrefix="0" xfId="0"/>
  </cellXfs>
  <cellStyles count="2">
    <cellStyle name="Normal" xfId="0" builtinId="0"/>
    <cellStyle name="Normal 2" xfId="1"/>
  </cellStyles>
  <dxfs count="54"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view="pageLayout" zoomScale="115" zoomScaleNormal="100" zoomScalePageLayoutView="115" workbookViewId="0">
      <selection activeCell="F6" sqref="F6:G6"/>
    </sheetView>
  </sheetViews>
  <sheetFormatPr baseColWidth="8" defaultRowHeight="12.75" outlineLevelCol="0"/>
  <cols>
    <col width="6.5703125" customWidth="1" style="1" min="1" max="1"/>
    <col width="8" customWidth="1" style="1" min="2" max="2"/>
    <col width="8.140625" customWidth="1" style="1" min="3" max="3"/>
    <col width="14.42578125" customWidth="1" style="1" min="4" max="4"/>
    <col width="8.42578125" customWidth="1" style="1" min="5" max="5"/>
    <col width="10.42578125" customWidth="1" style="1" min="6" max="6"/>
    <col width="9.140625" customWidth="1" style="1" min="7" max="7"/>
    <col width="9.140625" customWidth="1" style="1" min="8" max="8"/>
    <col width="13" bestFit="1" customWidth="1" style="1" min="9" max="9"/>
    <col hidden="1" width="9.140625" customWidth="1" style="1" min="10" max="10"/>
    <col hidden="1" width="9.7109375" customWidth="1" style="1" min="11" max="11"/>
    <col width="9.140625" customWidth="1" style="1" min="12" max="16384"/>
  </cols>
  <sheetData>
    <row r="1" ht="15.75" customHeight="1">
      <c r="A1" s="51" t="inlineStr">
        <is>
          <t>RESULT RECORD SHEET</t>
        </is>
      </c>
      <c r="B1" s="52" t="n"/>
      <c r="C1" s="52" t="n"/>
      <c r="D1" s="52" t="n"/>
      <c r="E1" s="52" t="n"/>
      <c r="F1" s="52" t="n"/>
      <c r="G1" s="52" t="n"/>
      <c r="H1" s="52" t="n"/>
      <c r="I1" s="53" t="n"/>
    </row>
    <row r="2" ht="15.75" customHeight="1">
      <c r="A2" s="54" t="inlineStr">
        <is>
          <t>FOR TESTING FLAP POSITION SENSOR</t>
        </is>
      </c>
      <c r="I2" s="55" t="n"/>
    </row>
    <row r="3">
      <c r="A3" s="17" t="n"/>
      <c r="B3" s="18" t="n"/>
      <c r="D3" s="35" t="inlineStr">
        <is>
          <t>Description</t>
        </is>
      </c>
      <c r="F3" s="36" t="inlineStr">
        <is>
          <t>Flap Position Sensor</t>
        </is>
      </c>
      <c r="H3" s="18" t="n"/>
      <c r="I3" s="19" t="n"/>
    </row>
    <row r="4">
      <c r="A4" s="17" t="n"/>
      <c r="B4" s="18" t="n"/>
      <c r="D4" s="35" t="inlineStr">
        <is>
          <t>Part Number</t>
        </is>
      </c>
      <c r="F4" s="36" t="inlineStr">
        <is>
          <t>18-1738-12</t>
        </is>
      </c>
      <c r="H4" s="18" t="n"/>
      <c r="I4" s="19" t="n"/>
    </row>
    <row r="5">
      <c r="A5" s="17" t="n"/>
      <c r="B5" s="18" t="n"/>
      <c r="D5" s="35" t="inlineStr">
        <is>
          <t>Serial Number</t>
        </is>
      </c>
      <c r="F5" s="36" t="n">
        <v>2708</v>
      </c>
      <c r="H5" s="18" t="n"/>
      <c r="I5" s="19" t="n"/>
    </row>
    <row r="6">
      <c r="A6" s="20" t="n"/>
      <c r="B6" s="21" t="n"/>
      <c r="C6" s="22" t="n"/>
      <c r="D6" s="38" t="inlineStr">
        <is>
          <t>Work Order</t>
        </is>
      </c>
      <c r="E6" s="56" t="n"/>
      <c r="F6" s="39" t="n">
        <v>512225469</v>
      </c>
      <c r="G6" s="56" t="n"/>
      <c r="H6" s="21" t="n"/>
      <c r="I6" s="23" t="n"/>
    </row>
    <row r="7">
      <c r="A7" s="57" t="inlineStr">
        <is>
          <t>ACCURACY STALL</t>
        </is>
      </c>
      <c r="B7" s="52" t="n"/>
      <c r="C7" s="52" t="n"/>
      <c r="D7" s="52" t="n"/>
      <c r="E7" s="52" t="n"/>
      <c r="F7" s="52" t="n"/>
      <c r="G7" s="52" t="n"/>
      <c r="H7" s="52" t="n"/>
      <c r="I7" s="52" t="n"/>
    </row>
    <row r="8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</row>
    <row r="9">
      <c r="A9" s="42" t="inlineStr">
        <is>
          <t>TEST POINT</t>
        </is>
      </c>
      <c r="B9" s="42" t="inlineStr">
        <is>
          <t>INPUT TURNS</t>
        </is>
      </c>
      <c r="C9" s="42" t="inlineStr">
        <is>
          <t>SHAFT ANGLE</t>
        </is>
      </c>
      <c r="D9" s="45" t="inlineStr">
        <is>
          <t>SYNCRO ELECT. OUTPUT</t>
        </is>
      </c>
      <c r="E9" s="45" t="inlineStr">
        <is>
          <t>TOP LIMIT</t>
        </is>
      </c>
      <c r="F9" s="45" t="inlineStr">
        <is>
          <t>BOTTOM LIMIT</t>
        </is>
      </c>
      <c r="G9" s="45" t="inlineStr">
        <is>
          <t>RESULT</t>
        </is>
      </c>
      <c r="H9" s="42" t="inlineStr">
        <is>
          <t>REMARK</t>
        </is>
      </c>
      <c r="I9" s="58" t="inlineStr">
        <is>
          <t>DIFFERENCE</t>
        </is>
      </c>
      <c r="J9" s="50" t="inlineStr">
        <is>
          <t>REFERENCE</t>
        </is>
      </c>
      <c r="K9" s="37" t="inlineStr">
        <is>
          <t>REAL VALUE</t>
        </is>
      </c>
    </row>
    <row r="10">
      <c r="A10" s="59" t="n"/>
      <c r="B10" s="59" t="n"/>
      <c r="C10" s="59" t="n"/>
      <c r="D10" s="59" t="n"/>
      <c r="E10" s="59" t="n"/>
      <c r="F10" s="59" t="n"/>
      <c r="G10" s="59" t="n"/>
      <c r="H10" s="59" t="n"/>
      <c r="I10" s="59" t="n"/>
      <c r="J10" s="60" t="n"/>
      <c r="M10" s="28" t="inlineStr">
        <is>
          <t>XZ</t>
        </is>
      </c>
      <c r="N10" s="28" t="inlineStr">
        <is>
          <t>YZ</t>
        </is>
      </c>
    </row>
    <row r="11" ht="15" customHeight="1">
      <c r="A11" s="2" t="n">
        <v>1</v>
      </c>
      <c r="B11" s="2" t="n">
        <v>0</v>
      </c>
      <c r="C11" s="2" t="n">
        <v>0</v>
      </c>
      <c r="D11" s="3" t="n">
        <v>277</v>
      </c>
      <c r="E11" s="4">
        <f>D11+1.5</f>
        <v/>
      </c>
      <c r="F11" s="4">
        <f>D11-1.5</f>
        <v/>
      </c>
      <c r="G11" s="24" t="n">
        <v>276.71</v>
      </c>
      <c r="H11" s="6">
        <f>IF(OR(K11&gt;E11,K11&lt;F11),"FAIL","PASS")</f>
        <v/>
      </c>
      <c r="I11" s="7">
        <f>G11-D11</f>
        <v/>
      </c>
      <c r="J11" s="8">
        <f>IF(G11&gt;300,G11-360,0)</f>
        <v/>
      </c>
      <c r="K11" s="8">
        <f>IF(J11=0,G11,J11)</f>
        <v/>
      </c>
    </row>
    <row r="12" ht="15" customHeight="1">
      <c r="A12" s="2" t="n">
        <v>2</v>
      </c>
      <c r="B12" s="2" t="n">
        <v>14</v>
      </c>
      <c r="C12" s="2" t="n">
        <v>132</v>
      </c>
      <c r="D12" s="3" t="n">
        <v>270</v>
      </c>
      <c r="E12" s="9">
        <f>D12+1.5</f>
        <v/>
      </c>
      <c r="F12" s="9">
        <f>D12-1.5</f>
        <v/>
      </c>
      <c r="G12" s="24" t="n">
        <v>269.81</v>
      </c>
      <c r="H12" s="6">
        <f>IF(OR(K12&gt;E12,K12&lt;F12),"FAIL","PASS")</f>
        <v/>
      </c>
      <c r="I12" s="7">
        <f>G12-D12</f>
        <v/>
      </c>
      <c r="J12" s="8">
        <f>IF(G12&gt;300,G12-360,0)</f>
        <v/>
      </c>
      <c r="K12" s="8">
        <f>IF(J12=0,G12,J12)</f>
        <v/>
      </c>
    </row>
    <row r="13" ht="15" customHeight="1">
      <c r="A13" s="2" t="n">
        <v>3</v>
      </c>
      <c r="B13" s="2" t="n">
        <v>64</v>
      </c>
      <c r="C13" s="2" t="n">
        <v>318</v>
      </c>
      <c r="D13" s="3" t="n">
        <v>240</v>
      </c>
      <c r="E13" s="9">
        <f>D13+1.5</f>
        <v/>
      </c>
      <c r="F13" s="9">
        <f>D13-1.5</f>
        <v/>
      </c>
      <c r="G13" s="24" t="n">
        <v>239.61</v>
      </c>
      <c r="H13" s="6">
        <f>IF(OR(K13&gt;E13,K13&lt;F13),"FAIL","PASS")</f>
        <v/>
      </c>
      <c r="I13" s="7">
        <f>G13-D13</f>
        <v/>
      </c>
      <c r="J13" s="8">
        <f>IF(G13&gt;300,G13-360,0)</f>
        <v/>
      </c>
      <c r="K13" s="8">
        <f>IF(J13=0,G13,J13)</f>
        <v/>
      </c>
    </row>
    <row r="14" ht="15" customHeight="1">
      <c r="A14" s="2" t="n">
        <v>4</v>
      </c>
      <c r="B14" s="2" t="n">
        <v>115</v>
      </c>
      <c r="C14" s="2" t="n">
        <v>156</v>
      </c>
      <c r="D14" s="3" t="n">
        <v>210</v>
      </c>
      <c r="E14" s="9">
        <f>D14+1.5</f>
        <v/>
      </c>
      <c r="F14" s="9">
        <f>D14-1.5</f>
        <v/>
      </c>
      <c r="G14" s="24" t="n">
        <v>209.77</v>
      </c>
      <c r="H14" s="6">
        <f>IF(OR(K14&gt;E14,K14&lt;F14),"FAIL","PASS")</f>
        <v/>
      </c>
      <c r="I14" s="7">
        <f>G14-D14</f>
        <v/>
      </c>
      <c r="J14" s="8">
        <f>IF(G14&gt;300,G14-360,0)</f>
        <v/>
      </c>
      <c r="K14" s="8">
        <f>IF(J14=0,G14,J14)</f>
        <v/>
      </c>
    </row>
    <row r="15" ht="15" customHeight="1">
      <c r="A15" s="2" t="n">
        <v>5</v>
      </c>
      <c r="B15" s="2" t="n">
        <v>142</v>
      </c>
      <c r="C15" s="2" t="n">
        <v>37</v>
      </c>
      <c r="D15" s="3" t="n">
        <v>180</v>
      </c>
      <c r="E15" s="9">
        <f>D15+1.5</f>
        <v/>
      </c>
      <c r="F15" s="9">
        <f>D15-1.5</f>
        <v/>
      </c>
      <c r="G15" s="24" t="n">
        <v>180.05</v>
      </c>
      <c r="H15" s="6">
        <f>IF(OR(K15&gt;E15,K15&lt;F15),"FAIL","PASS")</f>
        <v/>
      </c>
      <c r="I15" s="7">
        <f>G15-D15</f>
        <v/>
      </c>
      <c r="J15" s="8">
        <f>IF(G15&gt;300,G15-360,0)</f>
        <v/>
      </c>
      <c r="K15" s="8">
        <f>IF(J15=0,G15,J15)</f>
        <v/>
      </c>
    </row>
    <row r="16" ht="15" customHeight="1">
      <c r="A16" s="2" t="n">
        <v>6</v>
      </c>
      <c r="B16" s="2" t="n">
        <v>168</v>
      </c>
      <c r="C16" s="2" t="n">
        <v>278</v>
      </c>
      <c r="D16" s="3" t="n">
        <v>150</v>
      </c>
      <c r="E16" s="9">
        <f>D16+1.5</f>
        <v/>
      </c>
      <c r="F16" s="9">
        <f>D16-1.5</f>
        <v/>
      </c>
      <c r="G16" s="24" t="n">
        <v>149.91</v>
      </c>
      <c r="H16" s="6">
        <f>IF(OR(K16&gt;E16,K16&lt;F16),"FAIL","PASS")</f>
        <v/>
      </c>
      <c r="I16" s="7">
        <f>G16-D16</f>
        <v/>
      </c>
      <c r="J16" s="8">
        <f>IF(G16&gt;300,G16-360,0)</f>
        <v/>
      </c>
      <c r="K16" s="8">
        <f>IF(J16=0,G16,J16)</f>
        <v/>
      </c>
    </row>
    <row r="17" ht="15" customHeight="1">
      <c r="A17" s="2" t="n">
        <v>7</v>
      </c>
      <c r="B17" s="2" t="n">
        <v>207</v>
      </c>
      <c r="C17" s="2" t="n">
        <v>283</v>
      </c>
      <c r="D17" s="3" t="n">
        <v>113</v>
      </c>
      <c r="E17" s="9">
        <f>D17+1.5</f>
        <v/>
      </c>
      <c r="F17" s="9">
        <f>D17-1.5</f>
        <v/>
      </c>
      <c r="G17" s="24" t="n">
        <v>112.78</v>
      </c>
      <c r="H17" s="6">
        <f>IF(OR(K17&gt;E17,K17&lt;F17),"FAIL","PASS")</f>
        <v/>
      </c>
      <c r="I17" s="7">
        <f>G17-D17</f>
        <v/>
      </c>
      <c r="J17" s="8">
        <f>IF(G17&gt;300,G17-360,0)</f>
        <v/>
      </c>
      <c r="K17" s="8">
        <f>IF(J17=0,G17,J17)</f>
        <v/>
      </c>
    </row>
    <row r="18" ht="15" customHeight="1">
      <c r="A18" s="2" t="n">
        <v>8</v>
      </c>
      <c r="B18" s="2" t="n">
        <v>243</v>
      </c>
      <c r="C18" s="2" t="n">
        <v>74</v>
      </c>
      <c r="D18" s="3" t="n">
        <v>76</v>
      </c>
      <c r="E18" s="9">
        <f>D18+1.5</f>
        <v/>
      </c>
      <c r="F18" s="9">
        <f>D18-1.5</f>
        <v/>
      </c>
      <c r="G18" s="24" t="n">
        <v>76.04000000000001</v>
      </c>
      <c r="H18" s="6">
        <f>IF(OR(K18&gt;E18,K18&lt;F18),"FAIL","PASS")</f>
        <v/>
      </c>
      <c r="I18" s="7">
        <f>G18-D18</f>
        <v/>
      </c>
      <c r="J18" s="8">
        <f>IF(G18&gt;300,G18-360,0)</f>
        <v/>
      </c>
      <c r="K18" s="8">
        <f>IF(J18=0,G18,J18)</f>
        <v/>
      </c>
    </row>
    <row r="19" ht="15" customHeight="1">
      <c r="A19" s="2" t="n">
        <v>9</v>
      </c>
      <c r="B19" s="2" t="n">
        <v>278</v>
      </c>
      <c r="C19" s="2" t="n">
        <v>238</v>
      </c>
      <c r="D19" s="3" t="n">
        <v>37</v>
      </c>
      <c r="E19" s="9">
        <f>D19+1.5</f>
        <v/>
      </c>
      <c r="F19" s="9">
        <f>D19-1.5</f>
        <v/>
      </c>
      <c r="G19" s="24" t="n">
        <v>36.8</v>
      </c>
      <c r="H19" s="6">
        <f>IF(OR(K19&gt;E19,K19&lt;F19),"FAIL","PASS")</f>
        <v/>
      </c>
      <c r="I19" s="7">
        <f>G19-D19</f>
        <v/>
      </c>
      <c r="J19" s="8">
        <f>IF(G19&gt;300,G19-360,0)</f>
        <v/>
      </c>
      <c r="K19" s="8">
        <f>IF(J19=0,G19,J19)</f>
        <v/>
      </c>
    </row>
    <row r="20" ht="15" customHeight="1">
      <c r="A20" s="2" t="n">
        <v>10</v>
      </c>
      <c r="B20" s="2" t="n">
        <v>418</v>
      </c>
      <c r="C20" s="2" t="n">
        <v>216</v>
      </c>
      <c r="D20" s="3" t="n">
        <v>0</v>
      </c>
      <c r="E20" s="9">
        <f>D20+1.5</f>
        <v/>
      </c>
      <c r="F20" s="9">
        <f>D20-1.5</f>
        <v/>
      </c>
      <c r="G20" s="24" t="n">
        <v>359.96</v>
      </c>
      <c r="H20" s="6">
        <f>IF(OR(K20&gt;E20,K20&lt;F20),"FAIL","PASS")</f>
        <v/>
      </c>
      <c r="I20" s="7">
        <f>IF(G20&gt;300,G20-360-D20,G20-D20)</f>
        <v/>
      </c>
      <c r="J20" s="8">
        <f>IF(G20&gt;300,G20-360,0)</f>
        <v/>
      </c>
      <c r="K20" s="8">
        <f>IF(J20=0,G20,J20)</f>
        <v/>
      </c>
    </row>
    <row r="21" ht="15" customHeight="1">
      <c r="A21" s="2" t="n">
        <v>11</v>
      </c>
      <c r="B21" s="2" t="n">
        <v>425</v>
      </c>
      <c r="C21" s="2" t="n">
        <v>282</v>
      </c>
      <c r="D21" s="3" t="n">
        <v>-6</v>
      </c>
      <c r="E21" s="9">
        <f>D21+1.5</f>
        <v/>
      </c>
      <c r="F21" s="9">
        <f>D21-1.5</f>
        <v/>
      </c>
      <c r="G21" s="24" t="n">
        <v>354.16</v>
      </c>
      <c r="H21" s="6">
        <f>IF(OR(K21&gt;E21,K21&lt;F21),"FAIL","PASS")</f>
        <v/>
      </c>
      <c r="I21" s="7">
        <f>IF(G21&gt;300,G21-360-D21,G21-D21)</f>
        <v/>
      </c>
      <c r="J21" s="8">
        <f>IF(G21&gt;300,G21-360,0)</f>
        <v/>
      </c>
      <c r="K21" s="8">
        <f>IF(J21=0,G21,J21)</f>
        <v/>
      </c>
    </row>
    <row r="22">
      <c r="D22" s="10" t="n"/>
    </row>
    <row r="24" ht="15" customHeight="1">
      <c r="A24" s="2" t="n">
        <v>11</v>
      </c>
      <c r="B24" s="2" t="n">
        <v>425</v>
      </c>
      <c r="C24" s="2" t="n">
        <v>282</v>
      </c>
      <c r="D24" s="3" t="n">
        <v>-6</v>
      </c>
      <c r="E24" s="9">
        <f>D24+1.5</f>
        <v/>
      </c>
      <c r="F24" s="9">
        <f>D24-1.5</f>
        <v/>
      </c>
      <c r="G24" s="24">
        <f>G21</f>
        <v/>
      </c>
      <c r="H24" s="6">
        <f>IF(OR(K24&gt;E24,K24&lt;F24),"FAIL","PASS")</f>
        <v/>
      </c>
      <c r="I24" s="7">
        <f>IF(G24&gt;300,G24-360-D24,G24-D24)</f>
        <v/>
      </c>
      <c r="J24" s="8">
        <f>IF(G24&gt;300,G24-360,0)</f>
        <v/>
      </c>
      <c r="K24" s="8">
        <f>IF(J24=0,G24,J24)</f>
        <v/>
      </c>
    </row>
    <row r="25" ht="15" customHeight="1">
      <c r="A25" s="2" t="n">
        <v>10</v>
      </c>
      <c r="B25" s="2" t="n">
        <v>418</v>
      </c>
      <c r="C25" s="2" t="n">
        <v>216</v>
      </c>
      <c r="D25" s="3" t="n">
        <v>0</v>
      </c>
      <c r="E25" s="9">
        <f>D25+1.5</f>
        <v/>
      </c>
      <c r="F25" s="9">
        <f>D25-1.5</f>
        <v/>
      </c>
      <c r="G25" s="24" t="n">
        <v>359.83</v>
      </c>
      <c r="H25" s="6">
        <f>IF(OR(K25&gt;E25,K25&lt;F25),"FAIL","PASS")</f>
        <v/>
      </c>
      <c r="I25" s="7">
        <f>IF(G25&gt;300,G25-360-D25,G25-D25)</f>
        <v/>
      </c>
      <c r="J25" s="8">
        <f>IF(G25&gt;300,G25-360,0)</f>
        <v/>
      </c>
      <c r="K25" s="8">
        <f>IF(J25=0,G25,J25)</f>
        <v/>
      </c>
    </row>
    <row r="26" ht="15" customHeight="1">
      <c r="A26" s="2" t="n">
        <v>9</v>
      </c>
      <c r="B26" s="2" t="n">
        <v>278</v>
      </c>
      <c r="C26" s="2" t="n">
        <v>238</v>
      </c>
      <c r="D26" s="3" t="n">
        <v>37</v>
      </c>
      <c r="E26" s="9">
        <f>D26+1.5</f>
        <v/>
      </c>
      <c r="F26" s="9">
        <f>D26-1.5</f>
        <v/>
      </c>
      <c r="G26" s="24" t="n">
        <v>36.59</v>
      </c>
      <c r="H26" s="6">
        <f>IF(OR(K26&gt;E26,K26&lt;F26),"FAIL","PASS")</f>
        <v/>
      </c>
      <c r="I26" s="7">
        <f>G26-D26</f>
        <v/>
      </c>
      <c r="J26" s="8">
        <f>IF(G26&gt;300,G26-360,0)</f>
        <v/>
      </c>
      <c r="K26" s="8">
        <f>IF(J26=0,G26,J26)</f>
        <v/>
      </c>
    </row>
    <row r="27" ht="15" customHeight="1">
      <c r="A27" s="2" t="n">
        <v>8</v>
      </c>
      <c r="B27" s="2" t="n">
        <v>243</v>
      </c>
      <c r="C27" s="2" t="n">
        <v>74</v>
      </c>
      <c r="D27" s="3" t="n">
        <v>76</v>
      </c>
      <c r="E27" s="9">
        <f>D27+1.5</f>
        <v/>
      </c>
      <c r="F27" s="9">
        <f>D27-1.5</f>
        <v/>
      </c>
      <c r="G27" s="24" t="n">
        <v>75.87</v>
      </c>
      <c r="H27" s="6">
        <f>IF(OR(K27&gt;E27,K27&lt;F27),"FAIL","PASS")</f>
        <v/>
      </c>
      <c r="I27" s="7">
        <f>G27-D27</f>
        <v/>
      </c>
      <c r="J27" s="8">
        <f>IF(G27&gt;300,G27-360,0)</f>
        <v/>
      </c>
      <c r="K27" s="8">
        <f>IF(J27=0,G27,J27)</f>
        <v/>
      </c>
    </row>
    <row r="28" ht="15" customHeight="1">
      <c r="A28" s="2" t="n">
        <v>7</v>
      </c>
      <c r="B28" s="2" t="n">
        <v>207</v>
      </c>
      <c r="C28" s="2" t="n">
        <v>283</v>
      </c>
      <c r="D28" s="3" t="n">
        <v>113</v>
      </c>
      <c r="E28" s="9">
        <f>D28+1.5</f>
        <v/>
      </c>
      <c r="F28" s="9">
        <f>D28-1.5</f>
        <v/>
      </c>
      <c r="G28" s="24" t="n">
        <v>112.66</v>
      </c>
      <c r="H28" s="6">
        <f>IF(OR(K28&gt;E28,K28&lt;F28),"FAIL","PASS")</f>
        <v/>
      </c>
      <c r="I28" s="7">
        <f>G28-D28</f>
        <v/>
      </c>
      <c r="J28" s="8">
        <f>IF(G28&gt;300,G28-360,0)</f>
        <v/>
      </c>
      <c r="K28" s="8">
        <f>IF(J28=0,G28,J28)</f>
        <v/>
      </c>
    </row>
    <row r="29" ht="15" customHeight="1">
      <c r="A29" s="2" t="n">
        <v>6</v>
      </c>
      <c r="B29" s="2" t="n">
        <v>168</v>
      </c>
      <c r="C29" s="2" t="n">
        <v>278</v>
      </c>
      <c r="D29" s="3" t="n">
        <v>150</v>
      </c>
      <c r="E29" s="9">
        <f>D29+1.5</f>
        <v/>
      </c>
      <c r="F29" s="9">
        <f>D29-1.5</f>
        <v/>
      </c>
      <c r="G29" s="24" t="n">
        <v>149.76</v>
      </c>
      <c r="H29" s="6">
        <f>IF(OR(K29&gt;E29,K29&lt;F29),"FAIL","PASS")</f>
        <v/>
      </c>
      <c r="I29" s="7">
        <f>G29-D29</f>
        <v/>
      </c>
      <c r="J29" s="8">
        <f>IF(G29&gt;300,G29-360,0)</f>
        <v/>
      </c>
      <c r="K29" s="8">
        <f>IF(J29=0,G29,J29)</f>
        <v/>
      </c>
    </row>
    <row r="30" ht="15" customHeight="1">
      <c r="A30" s="2" t="n">
        <v>5</v>
      </c>
      <c r="B30" s="2" t="n">
        <v>142</v>
      </c>
      <c r="C30" s="2" t="n">
        <v>37</v>
      </c>
      <c r="D30" s="3" t="n">
        <v>180</v>
      </c>
      <c r="E30" s="9">
        <f>D30+1.5</f>
        <v/>
      </c>
      <c r="F30" s="9">
        <f>D30-1.5</f>
        <v/>
      </c>
      <c r="G30" s="24" t="n">
        <v>179.84</v>
      </c>
      <c r="H30" s="6">
        <f>IF(OR(K30&gt;E30,K30&lt;F30),"FAIL","PASS")</f>
        <v/>
      </c>
      <c r="I30" s="7">
        <f>G30-D30</f>
        <v/>
      </c>
      <c r="J30" s="8">
        <f>IF(G30&gt;300,G30-360,0)</f>
        <v/>
      </c>
      <c r="K30" s="8">
        <f>IF(J30=0,G30,J30)</f>
        <v/>
      </c>
    </row>
    <row r="31" ht="15" customHeight="1">
      <c r="A31" s="2" t="n">
        <v>4</v>
      </c>
      <c r="B31" s="2" t="n">
        <v>115</v>
      </c>
      <c r="C31" s="2" t="n">
        <v>156</v>
      </c>
      <c r="D31" s="3" t="n">
        <v>210</v>
      </c>
      <c r="E31" s="9">
        <f>D31+1.5</f>
        <v/>
      </c>
      <c r="F31" s="9">
        <f>D31-1.5</f>
        <v/>
      </c>
      <c r="G31" s="24" t="n">
        <v>209.63</v>
      </c>
      <c r="H31" s="6">
        <f>IF(OR(K31&gt;E31,K31&lt;F31),"FAIL","PASS")</f>
        <v/>
      </c>
      <c r="I31" s="7">
        <f>G31-D31</f>
        <v/>
      </c>
      <c r="J31" s="8">
        <f>IF(G31&gt;300,G31-360,0)</f>
        <v/>
      </c>
      <c r="K31" s="8">
        <f>IF(J31=0,G31,J31)</f>
        <v/>
      </c>
    </row>
    <row r="32" ht="15" customHeight="1">
      <c r="A32" s="2" t="n">
        <v>3</v>
      </c>
      <c r="B32" s="2" t="n">
        <v>64</v>
      </c>
      <c r="C32" s="2" t="n">
        <v>318</v>
      </c>
      <c r="D32" s="3" t="n">
        <v>240</v>
      </c>
      <c r="E32" s="9">
        <f>D32+1.5</f>
        <v/>
      </c>
      <c r="F32" s="9">
        <f>D32-1.5</f>
        <v/>
      </c>
      <c r="G32" s="24" t="n">
        <v>239.51</v>
      </c>
      <c r="H32" s="6">
        <f>IF(OR(K32&gt;E32,K32&lt;F32),"FAIL","PASS")</f>
        <v/>
      </c>
      <c r="I32" s="7">
        <f>G32-D32</f>
        <v/>
      </c>
      <c r="J32" s="8">
        <f>IF(G32&gt;300,G32-360,0)</f>
        <v/>
      </c>
      <c r="K32" s="8">
        <f>IF(J32=0,G32,J32)</f>
        <v/>
      </c>
    </row>
    <row r="33" ht="15" customHeight="1">
      <c r="A33" s="2" t="n">
        <v>2</v>
      </c>
      <c r="B33" s="2" t="n">
        <v>14</v>
      </c>
      <c r="C33" s="2" t="n">
        <v>132</v>
      </c>
      <c r="D33" s="3" t="n">
        <v>270</v>
      </c>
      <c r="E33" s="9">
        <f>D33+1.5</f>
        <v/>
      </c>
      <c r="F33" s="9">
        <f>D33-1.5</f>
        <v/>
      </c>
      <c r="G33" s="24" t="n">
        <v>269.76</v>
      </c>
      <c r="H33" s="6">
        <f>IF(OR(K33&gt;E33,K33&lt;F33),"FAIL","PASS")</f>
        <v/>
      </c>
      <c r="I33" s="7">
        <f>G33-D33</f>
        <v/>
      </c>
      <c r="J33" s="8">
        <f>IF(G33&gt;300,G33-360,0)</f>
        <v/>
      </c>
      <c r="K33" s="8">
        <f>IF(J33=0,G33,J33)</f>
        <v/>
      </c>
    </row>
    <row r="34" ht="15" customHeight="1">
      <c r="A34" s="2" t="n">
        <v>1</v>
      </c>
      <c r="B34" s="2" t="n">
        <v>0</v>
      </c>
      <c r="C34" s="2" t="n">
        <v>0</v>
      </c>
      <c r="D34" s="3" t="n">
        <v>277</v>
      </c>
      <c r="E34" s="4">
        <f>D34+1.5</f>
        <v/>
      </c>
      <c r="F34" s="4">
        <f>D34-1.5</f>
        <v/>
      </c>
      <c r="G34" s="24" t="n">
        <v>276.77</v>
      </c>
      <c r="H34" s="6">
        <f>IF(OR(K34&gt;E34,K34&lt;F34),"FAIL","PASS")</f>
        <v/>
      </c>
      <c r="I34" s="7">
        <f>G34-D34</f>
        <v/>
      </c>
      <c r="J34" s="8">
        <f>IF(G34&gt;300,G34-360,0)</f>
        <v/>
      </c>
      <c r="K34" s="8">
        <f>IF(J34=0,G34,J34)</f>
        <v/>
      </c>
    </row>
  </sheetData>
  <mergeCells count="22">
    <mergeCell ref="F4:G4"/>
    <mergeCell ref="H9:H10"/>
    <mergeCell ref="J9:J10"/>
    <mergeCell ref="F6:G6"/>
    <mergeCell ref="F3:G3"/>
    <mergeCell ref="D6:E6"/>
    <mergeCell ref="C9:C10"/>
    <mergeCell ref="E9:E10"/>
    <mergeCell ref="A2:I2"/>
    <mergeCell ref="F5:G5"/>
    <mergeCell ref="B9:B10"/>
    <mergeCell ref="A7:I8"/>
    <mergeCell ref="D9:D10"/>
    <mergeCell ref="F9:F10"/>
    <mergeCell ref="D4:E4"/>
    <mergeCell ref="D3:E3"/>
    <mergeCell ref="G9:G10"/>
    <mergeCell ref="I9:I10"/>
    <mergeCell ref="K9:K10"/>
    <mergeCell ref="A9:A10"/>
    <mergeCell ref="D5:E5"/>
    <mergeCell ref="A1:I1"/>
  </mergeCells>
  <conditionalFormatting sqref="H11:H21">
    <cfRule type="containsText" priority="33" operator="containsText" dxfId="5" text="PASS">
      <formula>NOT(ISERROR(SEARCH("PASS",H11)))</formula>
    </cfRule>
    <cfRule type="containsText" priority="34" operator="containsText" dxfId="4" text="FAIL">
      <formula>NOT(ISERROR(SEARCH("FAIL",H11)))</formula>
    </cfRule>
  </conditionalFormatting>
  <conditionalFormatting sqref="H24:H34">
    <cfRule type="containsText" priority="1" operator="containsText" dxfId="5" text="PASS">
      <formula>NOT(ISERROR(SEARCH("PASS",H24)))</formula>
    </cfRule>
    <cfRule type="containsText" priority="2" operator="containsText" dxfId="4" text="FAIL">
      <formula>NOT(ISERROR(SEARCH("FAIL",H24)))</formula>
    </cfRule>
  </conditionalFormatting>
  <conditionalFormatting sqref="I11:I21">
    <cfRule type="expression" priority="19" dxfId="3">
      <formula>I11&lt;0</formula>
    </cfRule>
    <cfRule type="expression" priority="20" dxfId="2">
      <formula>I11&gt;1.5</formula>
    </cfRule>
    <cfRule type="expression" priority="21" dxfId="1">
      <formula>I11&gt;0</formula>
    </cfRule>
    <cfRule type="expression" priority="22" dxfId="0">
      <formula>I11&lt;-1.5</formula>
    </cfRule>
  </conditionalFormatting>
  <conditionalFormatting sqref="I24:I34">
    <cfRule type="expression" priority="3" dxfId="3">
      <formula>I24&lt;0</formula>
    </cfRule>
    <cfRule type="expression" priority="4" dxfId="2">
      <formula>I24&gt;1.5</formula>
    </cfRule>
    <cfRule type="expression" priority="5" dxfId="1">
      <formula>I24&gt;0</formula>
    </cfRule>
    <cfRule type="expression" priority="6" dxfId="0">
      <formula>I24&lt;-1.5</formula>
    </cfRule>
  </conditionalFormatting>
  <dataValidations count="1">
    <dataValidation sqref="G12" showDropDown="0" showInputMessage="1" showErrorMessage="1" allowBlank="0" errorTitle="Multiple Result Occur" error="Please input ONLY column RESULT or FINAL RESULT" errorStyle="warning"/>
  </dataValidations>
  <pageMargins left="0.7" right="0.7" top="0.75" bottom="0.75" header="0.3" footer="0.3"/>
  <pageSetup orientation="portrait" paperSize="9"/>
  <headerFooter differentFirst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5"/>
  <sheetViews>
    <sheetView tabSelected="1" view="pageLayout" zoomScale="110" zoomScaleNormal="100" zoomScalePageLayoutView="110" workbookViewId="0">
      <selection activeCell="G375" sqref="G375"/>
    </sheetView>
  </sheetViews>
  <sheetFormatPr baseColWidth="8" defaultRowHeight="12.75" outlineLevelCol="0"/>
  <cols>
    <col width="6.5703125" customWidth="1" style="1" min="1" max="1"/>
    <col width="8" customWidth="1" style="1" min="2" max="2"/>
    <col width="8.140625" customWidth="1" style="1" min="3" max="3"/>
    <col width="14.42578125" customWidth="1" style="1" min="4" max="4"/>
    <col width="8.42578125" customWidth="1" style="1" min="5" max="5"/>
    <col width="10.42578125" customWidth="1" style="1" min="6" max="6"/>
    <col width="9.140625" customWidth="1" style="1" min="7" max="8"/>
    <col width="13" bestFit="1" customWidth="1" style="1" min="9" max="9"/>
    <col hidden="1" width="8.7109375" customWidth="1" style="1" min="10" max="10"/>
    <col hidden="1" width="9" customWidth="1" style="1" min="11" max="11"/>
    <col width="9.140625" customWidth="1" style="1" min="12" max="16384"/>
  </cols>
  <sheetData>
    <row r="1" ht="15.75" customHeight="1">
      <c r="A1" s="51" t="inlineStr">
        <is>
          <t>RESULT RECORD SHEET</t>
        </is>
      </c>
      <c r="B1" s="52" t="n"/>
      <c r="C1" s="52" t="n"/>
      <c r="D1" s="52" t="n"/>
      <c r="E1" s="52" t="n"/>
      <c r="F1" s="52" t="n"/>
      <c r="G1" s="52" t="n"/>
      <c r="H1" s="52" t="n"/>
      <c r="I1" s="53" t="n"/>
    </row>
    <row r="2" ht="15.75" customHeight="1">
      <c r="A2" s="54" t="inlineStr">
        <is>
          <t>FOR TESTING FLAP POSITION SENSOR</t>
        </is>
      </c>
      <c r="I2" s="55" t="n"/>
    </row>
    <row r="3" ht="12.75" customHeight="1">
      <c r="A3" s="17" t="n"/>
      <c r="B3" s="18" t="n"/>
      <c r="D3" s="35" t="inlineStr">
        <is>
          <t>Description</t>
        </is>
      </c>
      <c r="F3" s="36" t="inlineStr">
        <is>
          <t>Flap Position Sensor</t>
        </is>
      </c>
      <c r="H3" s="18" t="n"/>
      <c r="I3" s="19" t="n"/>
    </row>
    <row r="4">
      <c r="A4" s="17" t="n"/>
      <c r="B4" s="18" t="n"/>
      <c r="D4" s="35" t="inlineStr">
        <is>
          <t>Part Number</t>
        </is>
      </c>
      <c r="F4" s="36" t="inlineStr">
        <is>
          <t>18-1738-12</t>
        </is>
      </c>
      <c r="H4" s="18" t="n"/>
      <c r="I4" s="19" t="n"/>
    </row>
    <row r="5">
      <c r="A5" s="17" t="n"/>
      <c r="B5" s="18" t="n"/>
      <c r="D5" s="35" t="inlineStr">
        <is>
          <t>Serial Number</t>
        </is>
      </c>
      <c r="F5" s="36" t="n">
        <v>2708</v>
      </c>
      <c r="H5" s="18" t="n"/>
      <c r="I5" s="19" t="n"/>
    </row>
    <row r="6">
      <c r="A6" s="20" t="n"/>
      <c r="B6" s="21" t="n"/>
      <c r="C6" s="22" t="n"/>
      <c r="D6" s="38" t="inlineStr">
        <is>
          <t>Work Order</t>
        </is>
      </c>
      <c r="E6" s="56" t="n"/>
      <c r="F6" s="39" t="n">
        <v>512225469</v>
      </c>
      <c r="G6" s="56" t="n"/>
      <c r="H6" s="21" t="n"/>
      <c r="I6" s="23" t="n"/>
    </row>
    <row r="7">
      <c r="A7" s="57" t="inlineStr">
        <is>
          <t>CAM OUTPUT STALL</t>
        </is>
      </c>
      <c r="B7" s="52" t="n"/>
      <c r="C7" s="52" t="n"/>
      <c r="D7" s="52" t="n"/>
      <c r="E7" s="52" t="n"/>
      <c r="F7" s="52" t="n"/>
      <c r="G7" s="52" t="n"/>
      <c r="H7" s="52" t="n"/>
      <c r="I7" s="52" t="n"/>
    </row>
    <row r="8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</row>
    <row r="9" ht="12.75" customHeight="1">
      <c r="A9" s="42" t="inlineStr">
        <is>
          <t>TEST POINT</t>
        </is>
      </c>
      <c r="B9" s="42" t="inlineStr">
        <is>
          <t>INPUT TURNS</t>
        </is>
      </c>
      <c r="C9" s="42" t="inlineStr">
        <is>
          <t>SHAFT ANGLE</t>
        </is>
      </c>
      <c r="D9" s="45" t="inlineStr">
        <is>
          <t>SYNCRO ELECT. OUTPUT</t>
        </is>
      </c>
      <c r="E9" s="45" t="inlineStr">
        <is>
          <t>TOP LIMIT</t>
        </is>
      </c>
      <c r="F9" s="45" t="inlineStr">
        <is>
          <t>BOTTOM LIMIT</t>
        </is>
      </c>
      <c r="G9" s="45" t="inlineStr">
        <is>
          <t>RESULT</t>
        </is>
      </c>
      <c r="H9" s="42" t="inlineStr">
        <is>
          <t>REMARK</t>
        </is>
      </c>
      <c r="I9" s="58" t="inlineStr">
        <is>
          <t>DIFFERENCE</t>
        </is>
      </c>
      <c r="J9" s="37" t="inlineStr">
        <is>
          <t>REFERENCE</t>
        </is>
      </c>
      <c r="K9" s="37" t="inlineStr">
        <is>
          <t>REAL VALUE</t>
        </is>
      </c>
    </row>
    <row r="10">
      <c r="A10" s="59" t="n"/>
      <c r="B10" s="59" t="n"/>
      <c r="C10" s="59" t="n"/>
      <c r="D10" s="59" t="n"/>
      <c r="E10" s="59" t="n"/>
      <c r="F10" s="59" t="n"/>
      <c r="G10" s="59" t="n"/>
      <c r="H10" s="59" t="n"/>
      <c r="I10" s="59" t="n"/>
    </row>
    <row r="11" ht="15" customHeight="1">
      <c r="A11" s="11" t="inlineStr">
        <is>
          <t>1 (Rig)</t>
        </is>
      </c>
      <c r="B11" s="12" t="n">
        <v>0</v>
      </c>
      <c r="C11" s="13" t="n">
        <v>0</v>
      </c>
      <c r="D11" s="4" t="n">
        <v>277</v>
      </c>
      <c r="E11" s="4">
        <f>D11+1.5</f>
        <v/>
      </c>
      <c r="F11" s="4">
        <f>D11-1.5</f>
        <v/>
      </c>
      <c r="G11" s="24" t="n">
        <v>277</v>
      </c>
      <c r="H11" s="6">
        <f>IF(OR(K11&gt;E11,K11&lt;F11),"FAIL","PASS")</f>
        <v/>
      </c>
      <c r="I11" s="7">
        <f>G11-D11</f>
        <v/>
      </c>
      <c r="J11" s="8">
        <f>IF(G11&gt;300,G11-360,0)</f>
        <v/>
      </c>
      <c r="K11" s="8">
        <f>IF(J11=0,G11,J11)</f>
        <v/>
      </c>
    </row>
    <row r="12" ht="15" customHeight="1">
      <c r="A12" s="12" t="n">
        <v>2</v>
      </c>
      <c r="B12" s="12" t="n">
        <v>2</v>
      </c>
      <c r="C12" s="12" t="n">
        <v>172</v>
      </c>
      <c r="D12" s="5" t="n">
        <v>276.3</v>
      </c>
      <c r="E12" s="9">
        <f>D12+1.5</f>
        <v/>
      </c>
      <c r="F12" s="9">
        <f>D12-1.5</f>
        <v/>
      </c>
      <c r="G12" s="24" t="n">
        <v>276.3</v>
      </c>
      <c r="H12" s="6">
        <f>IF(OR(K12&gt;E12,K12&lt;F12),"FAIL","PASS")</f>
        <v/>
      </c>
      <c r="I12" s="7">
        <f>G12-D12</f>
        <v/>
      </c>
      <c r="J12" s="8">
        <f>IF(G12&gt;300,G12-360,0)</f>
        <v/>
      </c>
      <c r="K12" s="8">
        <f>IF(J12=0,G12,J12)</f>
        <v/>
      </c>
    </row>
    <row r="13" ht="15" customHeight="1">
      <c r="A13" s="12" t="n">
        <v>3</v>
      </c>
      <c r="B13" s="12" t="n">
        <v>4</v>
      </c>
      <c r="C13" s="12" t="n">
        <v>344</v>
      </c>
      <c r="D13" s="14" t="n">
        <v>275.41</v>
      </c>
      <c r="E13" s="9">
        <f>D13+1.5</f>
        <v/>
      </c>
      <c r="F13" s="9">
        <f>D13-1.5</f>
        <v/>
      </c>
      <c r="G13" s="24" t="n">
        <v>275.41</v>
      </c>
      <c r="H13" s="6">
        <f>IF(OR(K13&gt;E13,K13&lt;F13),"FAIL","PASS")</f>
        <v/>
      </c>
      <c r="I13" s="7">
        <f>G13-D13</f>
        <v/>
      </c>
      <c r="J13" s="8">
        <f>IF(G13&gt;300,G13-360,0)</f>
        <v/>
      </c>
      <c r="K13" s="8">
        <f>IF(J13=0,G13,J13)</f>
        <v/>
      </c>
    </row>
    <row r="14" ht="15" customHeight="1">
      <c r="A14" s="12" t="n">
        <v>4</v>
      </c>
      <c r="B14" s="12" t="n">
        <v>7</v>
      </c>
      <c r="C14" s="12" t="n">
        <v>155</v>
      </c>
      <c r="D14" s="14" t="n">
        <v>274.29</v>
      </c>
      <c r="E14" s="9">
        <f>D14+1.5</f>
        <v/>
      </c>
      <c r="F14" s="9">
        <f>D14-1.5</f>
        <v/>
      </c>
      <c r="G14" s="24" t="n">
        <v>274.29</v>
      </c>
      <c r="H14" s="6">
        <f>IF(OR(K14&gt;E14,K14&lt;F14),"FAIL","PASS")</f>
        <v/>
      </c>
      <c r="I14" s="7">
        <f>G14-D14</f>
        <v/>
      </c>
      <c r="J14" s="8">
        <f>IF(G14&gt;300,G14-360,0)</f>
        <v/>
      </c>
      <c r="K14" s="8">
        <f>IF(J14=0,G14,J14)</f>
        <v/>
      </c>
    </row>
    <row r="15" ht="15" customHeight="1">
      <c r="A15" s="12" t="n">
        <v>5</v>
      </c>
      <c r="B15" s="12" t="n">
        <v>9</v>
      </c>
      <c r="C15" s="12" t="n">
        <v>327</v>
      </c>
      <c r="D15" s="5" t="n">
        <v>273.05</v>
      </c>
      <c r="E15" s="9">
        <f>D15+1.5</f>
        <v/>
      </c>
      <c r="F15" s="9">
        <f>D15-1.5</f>
        <v/>
      </c>
      <c r="G15" s="24" t="n">
        <v>273.05</v>
      </c>
      <c r="H15" s="6">
        <f>IF(OR(K15&gt;E15,K15&lt;F15),"FAIL","PASS")</f>
        <v/>
      </c>
      <c r="I15" s="7">
        <f>G15-D15</f>
        <v/>
      </c>
      <c r="J15" s="8">
        <f>IF(G15&gt;300,G15-360,0)</f>
        <v/>
      </c>
      <c r="K15" s="8">
        <f>IF(J15=0,G15,J15)</f>
        <v/>
      </c>
    </row>
    <row r="16" ht="15" customHeight="1">
      <c r="A16" s="12" t="n">
        <v>6</v>
      </c>
      <c r="B16" s="12" t="n">
        <v>12</v>
      </c>
      <c r="C16" s="12" t="n">
        <v>139</v>
      </c>
      <c r="D16" s="5" t="n">
        <v>271.47</v>
      </c>
      <c r="E16" s="9">
        <f>D16+1.5</f>
        <v/>
      </c>
      <c r="F16" s="9">
        <f>D16-1.5</f>
        <v/>
      </c>
      <c r="G16" s="24" t="n">
        <v>271.47</v>
      </c>
      <c r="H16" s="6">
        <f>IF(OR(K16&gt;E16,K16&lt;F16),"FAIL","PASS")</f>
        <v/>
      </c>
      <c r="I16" s="7">
        <f>G16-D16</f>
        <v/>
      </c>
      <c r="J16" s="8">
        <f>IF(G16&gt;300,G16-360,0)</f>
        <v/>
      </c>
      <c r="K16" s="8">
        <f>IF(J16=0,G16,J16)</f>
        <v/>
      </c>
    </row>
    <row r="17" ht="15" customHeight="1">
      <c r="A17" s="12" t="n">
        <v>7</v>
      </c>
      <c r="B17" s="12" t="n">
        <v>14</v>
      </c>
      <c r="C17" s="12" t="n">
        <v>132</v>
      </c>
      <c r="D17" s="5" t="n">
        <v>270</v>
      </c>
      <c r="E17" s="9">
        <f>D17+1.5</f>
        <v/>
      </c>
      <c r="F17" s="9">
        <f>D17-1.5</f>
        <v/>
      </c>
      <c r="G17" s="24" t="n">
        <v>270</v>
      </c>
      <c r="H17" s="6">
        <f>IF(OR(K17&gt;E17,K17&lt;F17),"FAIL","PASS")</f>
        <v/>
      </c>
      <c r="I17" s="7">
        <f>G17-D17</f>
        <v/>
      </c>
      <c r="J17" s="8">
        <f>IF(G17&gt;300,G17-360,0)</f>
        <v/>
      </c>
      <c r="K17" s="8">
        <f>IF(J17=0,G17,J17)</f>
        <v/>
      </c>
    </row>
    <row r="18" ht="15" customHeight="1">
      <c r="A18" s="12" t="n">
        <v>8</v>
      </c>
      <c r="B18" s="12" t="n">
        <v>14</v>
      </c>
      <c r="C18" s="12" t="n">
        <v>311</v>
      </c>
      <c r="D18" s="5" t="n">
        <v>268.77</v>
      </c>
      <c r="E18" s="9">
        <f>D18+1.5</f>
        <v/>
      </c>
      <c r="F18" s="9">
        <f>D18-1.5</f>
        <v/>
      </c>
      <c r="G18" s="24" t="n">
        <v>268.77</v>
      </c>
      <c r="H18" s="6">
        <f>IF(OR(K18&gt;E18,K18&lt;F18),"FAIL","PASS")</f>
        <v/>
      </c>
      <c r="I18" s="7">
        <f>G18-D18</f>
        <v/>
      </c>
      <c r="J18" s="8">
        <f>IF(G18&gt;300,G18-360,0)</f>
        <v/>
      </c>
      <c r="K18" s="8">
        <f>IF(J18=0,G18,J18)</f>
        <v/>
      </c>
    </row>
    <row r="19" ht="15" customHeight="1">
      <c r="A19" s="12" t="n">
        <v>9</v>
      </c>
      <c r="B19" s="12" t="n">
        <v>17</v>
      </c>
      <c r="C19" s="11" t="n">
        <v>122</v>
      </c>
      <c r="D19" s="5" t="n">
        <v>268.29</v>
      </c>
      <c r="E19" s="9">
        <f>D19+1.5</f>
        <v/>
      </c>
      <c r="F19" s="9">
        <f>D19-1.5</f>
        <v/>
      </c>
      <c r="G19" s="24" t="n">
        <v>268.29</v>
      </c>
      <c r="H19" s="6">
        <f>IF(OR(K19&gt;E19,K19&lt;F19),"FAIL","PASS")</f>
        <v/>
      </c>
      <c r="I19" s="7">
        <f>G19-D19</f>
        <v/>
      </c>
      <c r="J19" s="8">
        <f>IF(G19&gt;300,G19-360,0)</f>
        <v/>
      </c>
      <c r="K19" s="8">
        <f>IF(J19=0,G19,J19)</f>
        <v/>
      </c>
    </row>
    <row r="20" ht="15" customHeight="1">
      <c r="A20" s="12" t="n">
        <v>10</v>
      </c>
      <c r="B20" s="12" t="n">
        <v>19</v>
      </c>
      <c r="C20" s="12" t="n">
        <v>294</v>
      </c>
      <c r="D20" s="5" t="n">
        <v>266.91</v>
      </c>
      <c r="E20" s="9">
        <f>D20+1.5</f>
        <v/>
      </c>
      <c r="F20" s="9">
        <f>D20-1.5</f>
        <v/>
      </c>
      <c r="G20" s="24" t="n">
        <v>266.91</v>
      </c>
      <c r="H20" s="6">
        <f>IF(OR(K20&gt;E20,K20&lt;F20),"FAIL","PASS")</f>
        <v/>
      </c>
      <c r="I20" s="7">
        <f>G20-D20</f>
        <v/>
      </c>
      <c r="J20" s="8">
        <f>IF(G20&gt;300,G20-360,0)</f>
        <v/>
      </c>
      <c r="K20" s="8">
        <f>IF(J20=0,G20,J20)</f>
        <v/>
      </c>
    </row>
    <row r="21" ht="15" customHeight="1">
      <c r="A21" s="12" t="n">
        <v>11</v>
      </c>
      <c r="B21" s="12" t="n">
        <v>22</v>
      </c>
      <c r="C21" s="12" t="n">
        <v>106</v>
      </c>
      <c r="D21" s="5" t="n">
        <v>265.49</v>
      </c>
      <c r="E21" s="9">
        <f>D21+1.5</f>
        <v/>
      </c>
      <c r="F21" s="9">
        <f>D21-1.5</f>
        <v/>
      </c>
      <c r="G21" s="24" t="n">
        <v>265.49</v>
      </c>
      <c r="H21" s="6">
        <f>IF(OR(K21&gt;E21,K21&lt;F21),"FAIL","PASS")</f>
        <v/>
      </c>
      <c r="I21" s="7">
        <f>G21-D21</f>
        <v/>
      </c>
      <c r="J21" s="8">
        <f>IF(G21&gt;300,G21-360,0)</f>
        <v/>
      </c>
      <c r="K21" s="8">
        <f>IF(J21=0,G21,J21)</f>
        <v/>
      </c>
    </row>
    <row r="22" ht="15" customHeight="1">
      <c r="A22" s="12" t="n">
        <v>12</v>
      </c>
      <c r="B22" s="12" t="n">
        <v>24</v>
      </c>
      <c r="C22" s="12" t="n">
        <v>278</v>
      </c>
      <c r="D22" s="5" t="n">
        <v>264.06</v>
      </c>
      <c r="E22" s="9">
        <f>D22+1.5</f>
        <v/>
      </c>
      <c r="F22" s="9">
        <f>D22-1.5</f>
        <v/>
      </c>
      <c r="G22" s="24" t="n">
        <v>264.06</v>
      </c>
      <c r="H22" s="6">
        <f>IF(OR(K22&gt;E22,K22&lt;F22),"FAIL","PASS")</f>
        <v/>
      </c>
      <c r="I22" s="7">
        <f>G22-D22</f>
        <v/>
      </c>
      <c r="J22" s="8">
        <f>IF(G22&gt;300,G22-360,0)</f>
        <v/>
      </c>
      <c r="K22" s="8">
        <f>IF(J22=0,G22,J22)</f>
        <v/>
      </c>
    </row>
    <row r="23" ht="15" customHeight="1">
      <c r="A23" s="12" t="n">
        <v>13</v>
      </c>
      <c r="B23" s="12" t="n">
        <v>27</v>
      </c>
      <c r="C23" s="12" t="n">
        <v>89</v>
      </c>
      <c r="D23" s="5" t="n">
        <v>262.61</v>
      </c>
      <c r="E23" s="9">
        <f>D23+1.5</f>
        <v/>
      </c>
      <c r="F23" s="9">
        <f>D23-1.5</f>
        <v/>
      </c>
      <c r="G23" s="24" t="n">
        <v>262.61</v>
      </c>
      <c r="H23" s="6">
        <f>IF(OR(K23&gt;E23,K23&lt;F23),"FAIL","PASS")</f>
        <v/>
      </c>
      <c r="I23" s="7">
        <f>G23-D23</f>
        <v/>
      </c>
      <c r="J23" s="8">
        <f>IF(G23&gt;300,G23-360,0)</f>
        <v/>
      </c>
      <c r="K23" s="8">
        <f>IF(J23=0,G23,J23)</f>
        <v/>
      </c>
    </row>
    <row r="24" ht="15" customHeight="1">
      <c r="A24" s="12" t="n">
        <v>14</v>
      </c>
      <c r="B24" s="12" t="n">
        <v>29</v>
      </c>
      <c r="C24" s="12" t="n">
        <v>261</v>
      </c>
      <c r="D24" s="5" t="n">
        <v>261.15</v>
      </c>
      <c r="E24" s="9">
        <f>D24+1.5</f>
        <v/>
      </c>
      <c r="F24" s="9">
        <f>D24-1.5</f>
        <v/>
      </c>
      <c r="G24" s="24" t="n">
        <v>261.15</v>
      </c>
      <c r="H24" s="6">
        <f>IF(OR(K24&gt;E24,K24&lt;F24),"FAIL","PASS")</f>
        <v/>
      </c>
      <c r="I24" s="7">
        <f>G24-D24</f>
        <v/>
      </c>
      <c r="J24" s="8">
        <f>IF(G24&gt;300,G24-360,0)</f>
        <v/>
      </c>
      <c r="K24" s="8">
        <f>IF(J24=0,G24,J24)</f>
        <v/>
      </c>
    </row>
    <row r="25" ht="15" customHeight="1">
      <c r="A25" s="12" t="n">
        <v>15</v>
      </c>
      <c r="B25" s="12" t="n">
        <v>32</v>
      </c>
      <c r="C25" s="12" t="n">
        <v>73</v>
      </c>
      <c r="D25" s="5" t="n">
        <v>259.7</v>
      </c>
      <c r="E25" s="9">
        <f>D25+1.5</f>
        <v/>
      </c>
      <c r="F25" s="9">
        <f>D25-1.5</f>
        <v/>
      </c>
      <c r="G25" s="24" t="n">
        <v>259.7</v>
      </c>
      <c r="H25" s="6">
        <f>IF(OR(K25&gt;E25,K25&lt;F25),"FAIL","PASS")</f>
        <v/>
      </c>
      <c r="I25" s="7">
        <f>G25-D25</f>
        <v/>
      </c>
      <c r="J25" s="8">
        <f>IF(G25&gt;300,G25-360,0)</f>
        <v/>
      </c>
      <c r="K25" s="8">
        <f>IF(J25=0,G25,J25)</f>
        <v/>
      </c>
    </row>
    <row r="26" ht="15" customHeight="1">
      <c r="A26" s="12" t="n">
        <v>16</v>
      </c>
      <c r="B26" s="12" t="n">
        <v>34</v>
      </c>
      <c r="C26" s="12" t="n">
        <v>245</v>
      </c>
      <c r="D26" s="5" t="n">
        <v>258.221</v>
      </c>
      <c r="E26" s="9">
        <f>D26+1.5</f>
        <v/>
      </c>
      <c r="F26" s="9">
        <f>D26-1.5</f>
        <v/>
      </c>
      <c r="G26" s="24" t="n">
        <v>258.22</v>
      </c>
      <c r="H26" s="6">
        <f>IF(OR(K26&gt;E26,K26&lt;F26),"FAIL","PASS")</f>
        <v/>
      </c>
      <c r="I26" s="7">
        <f>G26-D26</f>
        <v/>
      </c>
      <c r="J26" s="8">
        <f>IF(G26&gt;300,G26-360,0)</f>
        <v/>
      </c>
      <c r="K26" s="8">
        <f>IF(J26=0,G26,J26)</f>
        <v/>
      </c>
    </row>
    <row r="27" ht="15" customHeight="1">
      <c r="A27" s="12" t="n">
        <v>17</v>
      </c>
      <c r="B27" s="12" t="n">
        <v>37</v>
      </c>
      <c r="C27" s="12" t="n">
        <v>56</v>
      </c>
      <c r="D27" s="5" t="n">
        <v>256.75</v>
      </c>
      <c r="E27" s="9">
        <f>D27+1.5</f>
        <v/>
      </c>
      <c r="F27" s="9">
        <f>D27-1.5</f>
        <v/>
      </c>
      <c r="G27" s="24" t="n">
        <v>256.75</v>
      </c>
      <c r="H27" s="6">
        <f>IF(OR(K27&gt;E27,K27&lt;F27),"FAIL","PASS")</f>
        <v/>
      </c>
      <c r="I27" s="7">
        <f>G27-D27</f>
        <v/>
      </c>
      <c r="J27" s="8">
        <f>IF(G27&gt;300,G27-360,0)</f>
        <v/>
      </c>
      <c r="K27" s="8">
        <f>IF(J27=0,G27,J27)</f>
        <v/>
      </c>
    </row>
    <row r="28" ht="15" customHeight="1">
      <c r="A28" s="12" t="n">
        <v>18</v>
      </c>
      <c r="B28" s="12" t="n">
        <v>39</v>
      </c>
      <c r="C28" s="12" t="n">
        <v>228</v>
      </c>
      <c r="D28" s="5" t="n">
        <v>255.27</v>
      </c>
      <c r="E28" s="9">
        <f>D28+1.5</f>
        <v/>
      </c>
      <c r="F28" s="9">
        <f>D28-1.5</f>
        <v/>
      </c>
      <c r="G28" s="24" t="n">
        <v>255.27</v>
      </c>
      <c r="H28" s="6">
        <f>IF(OR(K28&gt;E28,K28&lt;F28),"FAIL","PASS")</f>
        <v/>
      </c>
      <c r="I28" s="7">
        <f>G28-D28</f>
        <v/>
      </c>
      <c r="J28" s="8">
        <f>IF(G28&gt;300,G28-360,0)</f>
        <v/>
      </c>
      <c r="K28" s="8">
        <f>IF(J28=0,G28,J28)</f>
        <v/>
      </c>
    </row>
    <row r="29" ht="15" customHeight="1">
      <c r="A29" s="12" t="n">
        <v>19</v>
      </c>
      <c r="B29" s="12" t="n">
        <v>42</v>
      </c>
      <c r="C29" s="12" t="n">
        <v>40</v>
      </c>
      <c r="D29" s="5" t="n">
        <v>253.76</v>
      </c>
      <c r="E29" s="9">
        <f>D29+1.5</f>
        <v/>
      </c>
      <c r="F29" s="9">
        <f>D29-1.5</f>
        <v/>
      </c>
      <c r="G29" s="24" t="n">
        <v>253.76</v>
      </c>
      <c r="H29" s="6">
        <f>IF(OR(K29&gt;E29,K29&lt;F29),"FAIL","PASS")</f>
        <v/>
      </c>
      <c r="I29" s="7">
        <f>G29-D29</f>
        <v/>
      </c>
      <c r="J29" s="8">
        <f>IF(G29&gt;300,G29-360,0)</f>
        <v/>
      </c>
      <c r="K29" s="8">
        <f>IF(J29=0,G29,J29)</f>
        <v/>
      </c>
    </row>
    <row r="30" ht="15" customHeight="1">
      <c r="A30" s="12" t="n">
        <v>20</v>
      </c>
      <c r="B30" s="12" t="n">
        <v>44</v>
      </c>
      <c r="C30" s="12" t="n">
        <v>212</v>
      </c>
      <c r="D30" s="5" t="n">
        <v>252.24</v>
      </c>
      <c r="E30" s="9">
        <f>D30+1.5</f>
        <v/>
      </c>
      <c r="F30" s="9">
        <f>D30-1.5</f>
        <v/>
      </c>
      <c r="G30" s="24" t="n">
        <v>252.24</v>
      </c>
      <c r="H30" s="6">
        <f>IF(OR(K30&gt;E30,K30&lt;F30),"FAIL","PASS")</f>
        <v/>
      </c>
      <c r="I30" s="7">
        <f>G30-D30</f>
        <v/>
      </c>
      <c r="J30" s="8">
        <f>IF(G30&gt;300,G30-360,0)</f>
        <v/>
      </c>
      <c r="K30" s="8">
        <f>IF(J30=0,G30,J30)</f>
        <v/>
      </c>
    </row>
    <row r="31" ht="15" customHeight="1">
      <c r="A31" s="12" t="n">
        <v>21</v>
      </c>
      <c r="B31" s="12" t="n">
        <v>47</v>
      </c>
      <c r="C31" s="12" t="n">
        <v>23</v>
      </c>
      <c r="D31" s="5" t="n">
        <v>250.73</v>
      </c>
      <c r="E31" s="9">
        <f>D31+1.5</f>
        <v/>
      </c>
      <c r="F31" s="9">
        <f>D31-1.5</f>
        <v/>
      </c>
      <c r="G31" s="24" t="n">
        <v>250.73</v>
      </c>
      <c r="H31" s="6">
        <f>IF(OR(K31&gt;E31,K31&lt;F31),"FAIL","PASS")</f>
        <v/>
      </c>
      <c r="I31" s="7">
        <f>G31-D31</f>
        <v/>
      </c>
      <c r="J31" s="8">
        <f>IF(G31&gt;300,G31-360,0)</f>
        <v/>
      </c>
      <c r="K31" s="8">
        <f>IF(J31=0,G31,J31)</f>
        <v/>
      </c>
    </row>
    <row r="32" ht="15" customHeight="1">
      <c r="A32" s="12" t="n">
        <v>22</v>
      </c>
      <c r="B32" s="12" t="n">
        <v>49</v>
      </c>
      <c r="C32" s="12" t="n">
        <v>195</v>
      </c>
      <c r="D32" s="5" t="n">
        <v>249.25</v>
      </c>
      <c r="E32" s="9">
        <f>D32+1.5</f>
        <v/>
      </c>
      <c r="F32" s="9">
        <f>D32-1.5</f>
        <v/>
      </c>
      <c r="G32" s="24" t="n">
        <v>249.25</v>
      </c>
      <c r="H32" s="6">
        <f>IF(OR(K32&gt;E32,K32&lt;F32),"FAIL","PASS")</f>
        <v/>
      </c>
      <c r="I32" s="7">
        <f>G32-D32</f>
        <v/>
      </c>
      <c r="J32" s="8">
        <f>IF(G32&gt;300,G32-360,0)</f>
        <v/>
      </c>
      <c r="K32" s="8">
        <f>IF(J32=0,G32,J32)</f>
        <v/>
      </c>
    </row>
    <row r="33" ht="15" customHeight="1">
      <c r="A33" s="12" t="n">
        <v>23</v>
      </c>
      <c r="B33" s="12" t="n">
        <v>52</v>
      </c>
      <c r="C33" s="12" t="n">
        <v>7</v>
      </c>
      <c r="D33" s="5" t="n">
        <v>247.75</v>
      </c>
      <c r="E33" s="9">
        <f>D33+1.5</f>
        <v/>
      </c>
      <c r="F33" s="9">
        <f>D33-1.5</f>
        <v/>
      </c>
      <c r="G33" s="24" t="n">
        <v>247.75</v>
      </c>
      <c r="H33" s="6">
        <f>IF(OR(K33&gt;E33,K33&lt;F33),"FAIL","PASS")</f>
        <v/>
      </c>
      <c r="I33" s="7">
        <f>G33-D33</f>
        <v/>
      </c>
      <c r="J33" s="8">
        <f>IF(G33&gt;300,G33-360,0)</f>
        <v/>
      </c>
      <c r="K33" s="8">
        <f>IF(J33=0,G33,J33)</f>
        <v/>
      </c>
    </row>
    <row r="34" ht="15" customHeight="1">
      <c r="A34" s="12" t="n">
        <v>24</v>
      </c>
      <c r="B34" s="15" t="n">
        <v>54</v>
      </c>
      <c r="C34" s="12" t="n">
        <v>179</v>
      </c>
      <c r="D34" s="5" t="n">
        <v>246.28</v>
      </c>
      <c r="E34" s="9">
        <f>D34+1.5</f>
        <v/>
      </c>
      <c r="F34" s="9">
        <f>D34-1.5</f>
        <v/>
      </c>
      <c r="G34" s="24" t="n">
        <v>246.28</v>
      </c>
      <c r="H34" s="6">
        <f>IF(OR(K34&gt;E34,K34&lt;F34),"FAIL","PASS")</f>
        <v/>
      </c>
      <c r="I34" s="7">
        <f>G34-D34</f>
        <v/>
      </c>
      <c r="J34" s="8">
        <f>IF(G34&gt;300,G34-360,0)</f>
        <v/>
      </c>
      <c r="K34" s="8">
        <f>IF(J34=0,G34,J34)</f>
        <v/>
      </c>
    </row>
    <row r="35" ht="15" customHeight="1">
      <c r="A35" s="12" t="n">
        <v>25</v>
      </c>
      <c r="B35" s="11" t="n">
        <v>56</v>
      </c>
      <c r="C35" s="12" t="n">
        <v>350</v>
      </c>
      <c r="D35" s="5" t="n">
        <v>244.8</v>
      </c>
      <c r="E35" s="9">
        <f>D35+1.5</f>
        <v/>
      </c>
      <c r="F35" s="9">
        <f>D35-1.5</f>
        <v/>
      </c>
      <c r="G35" s="24" t="n">
        <v>244.8</v>
      </c>
      <c r="H35" s="6">
        <f>IF(OR(K35&gt;E35,K35&lt;F35),"FAIL","PASS")</f>
        <v/>
      </c>
      <c r="I35" s="7">
        <f>G35-D35</f>
        <v/>
      </c>
      <c r="J35" s="8">
        <f>IF(G35&gt;300,G35-360,0)</f>
        <v/>
      </c>
      <c r="K35" s="8">
        <f>IF(J35=0,G35,J35)</f>
        <v/>
      </c>
    </row>
    <row r="36" ht="15" customHeight="1">
      <c r="A36" s="12" t="n">
        <v>26</v>
      </c>
      <c r="B36" s="12" t="n">
        <v>59</v>
      </c>
      <c r="C36" s="12" t="n">
        <v>162</v>
      </c>
      <c r="D36" s="5" t="n">
        <v>243.35</v>
      </c>
      <c r="E36" s="9">
        <f>D36+1.5</f>
        <v/>
      </c>
      <c r="F36" s="9">
        <f>D36-1.5</f>
        <v/>
      </c>
      <c r="G36" s="24" t="n">
        <v>243.35</v>
      </c>
      <c r="H36" s="6">
        <f>IF(OR(K36&gt;E36,K36&lt;F36),"FAIL","PASS")</f>
        <v/>
      </c>
      <c r="I36" s="7">
        <f>G36-D36</f>
        <v/>
      </c>
      <c r="J36" s="8">
        <f>IF(G36&gt;300,G36-360,0)</f>
        <v/>
      </c>
      <c r="K36" s="8">
        <f>IF(J36=0,G36,J36)</f>
        <v/>
      </c>
    </row>
    <row r="37" ht="15" customHeight="1">
      <c r="A37" s="12" t="n">
        <v>27</v>
      </c>
      <c r="B37" s="12" t="n">
        <v>61</v>
      </c>
      <c r="C37" s="12" t="n">
        <v>334</v>
      </c>
      <c r="D37" s="5" t="n">
        <v>241.94</v>
      </c>
      <c r="E37" s="9">
        <f>D37+1.5</f>
        <v/>
      </c>
      <c r="F37" s="9">
        <f>D37-1.5</f>
        <v/>
      </c>
      <c r="G37" s="24" t="n">
        <v>241.94</v>
      </c>
      <c r="H37" s="6">
        <f>IF(OR(K37&gt;E37,K37&lt;F37),"FAIL","PASS")</f>
        <v/>
      </c>
      <c r="I37" s="7">
        <f>G37-D37</f>
        <v/>
      </c>
      <c r="J37" s="8">
        <f>IF(G37&gt;300,G37-360,0)</f>
        <v/>
      </c>
      <c r="K37" s="8">
        <f>IF(J37=0,G37,J37)</f>
        <v/>
      </c>
    </row>
    <row r="38" ht="15" customHeight="1">
      <c r="A38" s="12" t="n">
        <v>28</v>
      </c>
      <c r="B38" s="12" t="n">
        <v>64</v>
      </c>
      <c r="C38" s="12" t="n">
        <v>146</v>
      </c>
      <c r="D38" s="5" t="n">
        <v>240.49</v>
      </c>
      <c r="E38" s="9">
        <f>D38+1.5</f>
        <v/>
      </c>
      <c r="F38" s="9">
        <f>D38-1.5</f>
        <v/>
      </c>
      <c r="G38" s="24" t="n">
        <v>240.49</v>
      </c>
      <c r="H38" s="6">
        <f>IF(OR(K38&gt;E38,K38&lt;F38),"FAIL","PASS")</f>
        <v/>
      </c>
      <c r="I38" s="7">
        <f>G38-D38</f>
        <v/>
      </c>
      <c r="J38" s="8">
        <f>IF(G38&gt;300,G38-360,0)</f>
        <v/>
      </c>
      <c r="K38" s="8">
        <f>IF(J38=0,G38,J38)</f>
        <v/>
      </c>
    </row>
    <row r="39" ht="15" customHeight="1">
      <c r="A39" s="12" t="n">
        <v>29</v>
      </c>
      <c r="B39" s="12" t="n">
        <v>64</v>
      </c>
      <c r="C39" s="12" t="n">
        <v>318</v>
      </c>
      <c r="D39" s="5" t="n">
        <v>240</v>
      </c>
      <c r="E39" s="9">
        <f>D39+1.5</f>
        <v/>
      </c>
      <c r="F39" s="9">
        <f>D39-1.5</f>
        <v/>
      </c>
      <c r="G39" s="24" t="n">
        <v>240</v>
      </c>
      <c r="H39" s="6">
        <f>IF(OR(K39&gt;E39,K39&lt;F39),"FAIL","PASS")</f>
        <v/>
      </c>
      <c r="I39" s="7">
        <f>G39-D39</f>
        <v/>
      </c>
      <c r="J39" s="8">
        <f>IF(G39&gt;300,G39-360,0)</f>
        <v/>
      </c>
      <c r="K39" s="8">
        <f>IF(J39=0,G39,J39)</f>
        <v/>
      </c>
    </row>
    <row r="40" ht="15" customHeight="1">
      <c r="A40" s="12" t="n">
        <v>30</v>
      </c>
      <c r="B40" s="12" t="n">
        <v>66</v>
      </c>
      <c r="C40" s="12" t="n">
        <v>317</v>
      </c>
      <c r="D40" s="5" t="n">
        <v>239.04</v>
      </c>
      <c r="E40" s="9">
        <f>D40+1.5</f>
        <v/>
      </c>
      <c r="F40" s="9">
        <f>D40-1.5</f>
        <v/>
      </c>
      <c r="G40" s="24" t="n">
        <v>239.04</v>
      </c>
      <c r="H40" s="6">
        <f>IF(OR(K40&gt;E40,K40&lt;F40),"FAIL","PASS")</f>
        <v/>
      </c>
      <c r="I40" s="7">
        <f>G40-D40</f>
        <v/>
      </c>
      <c r="J40" s="8">
        <f>IF(G40&gt;300,G40-360,0)</f>
        <v/>
      </c>
      <c r="K40" s="8">
        <f>IF(J40=0,G40,J40)</f>
        <v/>
      </c>
    </row>
    <row r="41" ht="15" customHeight="1">
      <c r="A41" s="12" t="n">
        <v>31</v>
      </c>
      <c r="B41" s="12" t="n">
        <v>69</v>
      </c>
      <c r="C41" s="11" t="n">
        <v>129</v>
      </c>
      <c r="D41" s="5" t="n">
        <v>237.65</v>
      </c>
      <c r="E41" s="9">
        <f>D41+1.5</f>
        <v/>
      </c>
      <c r="F41" s="9">
        <f>D41-1.5</f>
        <v/>
      </c>
      <c r="G41" s="25" t="n">
        <v>237.65</v>
      </c>
      <c r="H41" s="6">
        <f>IF(OR(K41&gt;E41,K41&lt;F41),"FAIL","PASS")</f>
        <v/>
      </c>
      <c r="I41" s="7">
        <f>G41-D41</f>
        <v/>
      </c>
      <c r="J41" s="8">
        <f>IF(G41&gt;300,G41-360,0)</f>
        <v/>
      </c>
      <c r="K41" s="8">
        <f>IF(J41=0,G41,J41)</f>
        <v/>
      </c>
    </row>
    <row r="42" ht="15" customHeight="1">
      <c r="A42" s="12" t="n">
        <v>32</v>
      </c>
      <c r="B42" s="12" t="n">
        <v>71</v>
      </c>
      <c r="C42" s="11" t="n">
        <v>301</v>
      </c>
      <c r="D42" s="5" t="n">
        <v>236.24</v>
      </c>
      <c r="E42" s="9">
        <f>D42+1.5</f>
        <v/>
      </c>
      <c r="F42" s="9">
        <f>D42-1.5</f>
        <v/>
      </c>
      <c r="G42" s="25" t="n">
        <v>236.24</v>
      </c>
      <c r="H42" s="6">
        <f>IF(OR(K42&gt;E42,K42&lt;F42),"FAIL","PASS")</f>
        <v/>
      </c>
      <c r="I42" s="7">
        <f>G42-D42</f>
        <v/>
      </c>
      <c r="J42" s="8">
        <f>IF(G42&gt;300,G42-360,0)</f>
        <v/>
      </c>
      <c r="K42" s="8">
        <f>IF(J42=0,G42,J42)</f>
        <v/>
      </c>
    </row>
    <row r="43" ht="15" customHeight="1">
      <c r="A43" s="11" t="n">
        <v>33</v>
      </c>
      <c r="B43" s="12" t="n">
        <v>74</v>
      </c>
      <c r="C43" s="11" t="n">
        <v>113</v>
      </c>
      <c r="D43" s="5" t="n">
        <v>234.81</v>
      </c>
      <c r="E43" s="9">
        <f>D43+1.5</f>
        <v/>
      </c>
      <c r="F43" s="9">
        <f>D43-1.5</f>
        <v/>
      </c>
      <c r="G43" s="25" t="n">
        <v>234.81</v>
      </c>
      <c r="H43" s="6">
        <f>IF(OR(K43&gt;E43,K43&lt;F43),"FAIL","PASS")</f>
        <v/>
      </c>
      <c r="I43" s="7">
        <f>G43-D43</f>
        <v/>
      </c>
      <c r="J43" s="8">
        <f>IF(G43&gt;300,G43-360,0)</f>
        <v/>
      </c>
      <c r="K43" s="8">
        <f>IF(J43=0,G43,J43)</f>
        <v/>
      </c>
    </row>
    <row r="44" ht="15" customHeight="1">
      <c r="A44" s="11" t="n">
        <v>34</v>
      </c>
      <c r="B44" s="12" t="n">
        <v>76</v>
      </c>
      <c r="C44" s="11" t="n">
        <v>284</v>
      </c>
      <c r="D44" s="5" t="n">
        <v>233.37</v>
      </c>
      <c r="E44" s="9">
        <f>D44+1.5</f>
        <v/>
      </c>
      <c r="F44" s="9">
        <f>D44-1.5</f>
        <v/>
      </c>
      <c r="G44" s="25" t="n">
        <v>233.37</v>
      </c>
      <c r="H44" s="6">
        <f>IF(OR(K44&gt;E44,K44&lt;F44),"FAIL","PASS")</f>
        <v/>
      </c>
      <c r="I44" s="7">
        <f>G44-D44</f>
        <v/>
      </c>
      <c r="J44" s="8">
        <f>IF(G44&gt;300,G44-360,0)</f>
        <v/>
      </c>
      <c r="K44" s="8">
        <f>IF(J44=0,G44,J44)</f>
        <v/>
      </c>
    </row>
    <row r="45" ht="15" customHeight="1">
      <c r="A45" s="12" t="n">
        <v>35</v>
      </c>
      <c r="B45" s="12" t="n">
        <v>79</v>
      </c>
      <c r="C45" s="11" t="n">
        <v>96</v>
      </c>
      <c r="D45" s="5" t="n">
        <v>231.95</v>
      </c>
      <c r="E45" s="9">
        <f>D45+1.5</f>
        <v/>
      </c>
      <c r="F45" s="9">
        <f>D45-1.5</f>
        <v/>
      </c>
      <c r="G45" s="25" t="n">
        <v>231.95</v>
      </c>
      <c r="H45" s="6">
        <f>IF(OR(K45&gt;E45,K45&lt;F45),"FAIL","PASS")</f>
        <v/>
      </c>
      <c r="I45" s="7">
        <f>G45-D45</f>
        <v/>
      </c>
      <c r="J45" s="8">
        <f>IF(G45&gt;300,G45-360,0)</f>
        <v/>
      </c>
      <c r="K45" s="8">
        <f>IF(J45=0,G45,J45)</f>
        <v/>
      </c>
    </row>
    <row r="46" ht="15" customHeight="1">
      <c r="A46" s="12" t="n">
        <v>36</v>
      </c>
      <c r="B46" s="12" t="n">
        <v>81</v>
      </c>
      <c r="C46" s="11" t="n">
        <v>268</v>
      </c>
      <c r="D46" s="5" t="n">
        <v>230.53</v>
      </c>
      <c r="E46" s="9">
        <f>D46+1.5</f>
        <v/>
      </c>
      <c r="F46" s="9">
        <f>D46-1.5</f>
        <v/>
      </c>
      <c r="G46" s="25" t="n">
        <v>230.53</v>
      </c>
      <c r="H46" s="6">
        <f>IF(OR(K46&gt;E46,K46&lt;F46),"FAIL","PASS")</f>
        <v/>
      </c>
      <c r="I46" s="7">
        <f>G46-D46</f>
        <v/>
      </c>
      <c r="J46" s="8">
        <f>IF(G46&gt;300,G46-360,0)</f>
        <v/>
      </c>
      <c r="K46" s="8">
        <f>IF(J46=0,G46,J46)</f>
        <v/>
      </c>
    </row>
    <row r="47" ht="15" customHeight="1">
      <c r="A47" s="12" t="n">
        <v>37</v>
      </c>
      <c r="B47" s="12" t="n">
        <v>84</v>
      </c>
      <c r="C47" s="11" t="n">
        <v>80</v>
      </c>
      <c r="D47" s="5" t="n">
        <v>229.11</v>
      </c>
      <c r="E47" s="9">
        <f>D47+1.5</f>
        <v/>
      </c>
      <c r="F47" s="9">
        <f>D47-1.5</f>
        <v/>
      </c>
      <c r="G47" s="25" t="n">
        <v>229.11</v>
      </c>
      <c r="H47" s="6">
        <f>IF(OR(K47&gt;E47,K47&lt;F47),"FAIL","PASS")</f>
        <v/>
      </c>
      <c r="I47" s="7">
        <f>G47-D47</f>
        <v/>
      </c>
      <c r="J47" s="8">
        <f>IF(G47&gt;300,G47-360,0)</f>
        <v/>
      </c>
      <c r="K47" s="8">
        <f>IF(J47=0,G47,J47)</f>
        <v/>
      </c>
    </row>
    <row r="48" ht="15" customHeight="1">
      <c r="A48" s="12" t="n">
        <v>38</v>
      </c>
      <c r="B48" s="12" t="n">
        <v>86</v>
      </c>
      <c r="C48" s="11" t="n">
        <v>251</v>
      </c>
      <c r="D48" s="5" t="n">
        <v>227.7</v>
      </c>
      <c r="E48" s="9">
        <f>D48+1.5</f>
        <v/>
      </c>
      <c r="F48" s="9">
        <f>D48-1.5</f>
        <v/>
      </c>
      <c r="G48" s="25" t="n">
        <v>227.7</v>
      </c>
      <c r="H48" s="6">
        <f>IF(OR(K48&gt;E48,K48&lt;F48),"FAIL","PASS")</f>
        <v/>
      </c>
      <c r="I48" s="7">
        <f>G48-D48</f>
        <v/>
      </c>
      <c r="J48" s="8">
        <f>IF(G48&gt;300,G48-360,0)</f>
        <v/>
      </c>
      <c r="K48" s="8">
        <f>IF(J48=0,G48,J48)</f>
        <v/>
      </c>
    </row>
    <row r="49" ht="15" customHeight="1">
      <c r="A49" s="12" t="n">
        <v>39</v>
      </c>
      <c r="B49" s="12" t="n">
        <v>89</v>
      </c>
      <c r="C49" s="11" t="n">
        <v>63</v>
      </c>
      <c r="D49" s="5" t="n">
        <v>226.26</v>
      </c>
      <c r="E49" s="9">
        <f>D49+1.5</f>
        <v/>
      </c>
      <c r="F49" s="9">
        <f>D49-1.5</f>
        <v/>
      </c>
      <c r="G49" s="25" t="n">
        <v>226.26</v>
      </c>
      <c r="H49" s="6">
        <f>IF(OR(K49&gt;E49,K49&lt;F49),"FAIL","PASS")</f>
        <v/>
      </c>
      <c r="I49" s="7">
        <f>G49-D49</f>
        <v/>
      </c>
      <c r="J49" s="8">
        <f>IF(G49&gt;300,G49-360,0)</f>
        <v/>
      </c>
      <c r="K49" s="8">
        <f>IF(J49=0,G49,J49)</f>
        <v/>
      </c>
    </row>
    <row r="50" ht="15" customHeight="1">
      <c r="A50" s="12" t="n">
        <v>40</v>
      </c>
      <c r="B50" s="12" t="n">
        <v>91</v>
      </c>
      <c r="C50" s="11" t="n">
        <v>235</v>
      </c>
      <c r="D50" s="5" t="n">
        <v>224.79</v>
      </c>
      <c r="E50" s="9">
        <f>D50+1.5</f>
        <v/>
      </c>
      <c r="F50" s="9">
        <f>D50-1.5</f>
        <v/>
      </c>
      <c r="G50" s="25" t="n">
        <v>224.79</v>
      </c>
      <c r="H50" s="6">
        <f>IF(OR(K50&gt;E50,K50&lt;F50),"FAIL","PASS")</f>
        <v/>
      </c>
      <c r="I50" s="7">
        <f>G50-D50</f>
        <v/>
      </c>
      <c r="J50" s="8">
        <f>IF(G50&gt;300,G50-360,0)</f>
        <v/>
      </c>
      <c r="K50" s="8">
        <f>IF(J50=0,G50,J50)</f>
        <v/>
      </c>
    </row>
    <row r="51" ht="15" customHeight="1">
      <c r="A51" s="12" t="n">
        <v>41</v>
      </c>
      <c r="B51" s="12" t="n">
        <v>94</v>
      </c>
      <c r="C51" s="11" t="n">
        <v>47</v>
      </c>
      <c r="D51" s="5" t="n">
        <v>223.38</v>
      </c>
      <c r="E51" s="9">
        <f>D51+1.5</f>
        <v/>
      </c>
      <c r="F51" s="9">
        <f>D51-1.5</f>
        <v/>
      </c>
      <c r="G51" s="25" t="n">
        <v>223.38</v>
      </c>
      <c r="H51" s="6">
        <f>IF(OR(K51&gt;E51,K51&lt;F51),"FAIL","PASS")</f>
        <v/>
      </c>
      <c r="I51" s="7">
        <f>G51-D51</f>
        <v/>
      </c>
      <c r="J51" s="8">
        <f>IF(G51&gt;300,G51-360,0)</f>
        <v/>
      </c>
      <c r="K51" s="8">
        <f>IF(J51=0,G51,J51)</f>
        <v/>
      </c>
    </row>
    <row r="52" ht="15" customHeight="1">
      <c r="A52" s="12" t="n">
        <v>42</v>
      </c>
      <c r="B52" s="12" t="n">
        <v>96</v>
      </c>
      <c r="C52" s="11" t="n">
        <v>218</v>
      </c>
      <c r="D52" s="5" t="n">
        <v>221.91</v>
      </c>
      <c r="E52" s="9">
        <f>D52+1.5</f>
        <v/>
      </c>
      <c r="F52" s="9">
        <f>D52-1.5</f>
        <v/>
      </c>
      <c r="G52" s="25" t="n">
        <v>221.91</v>
      </c>
      <c r="H52" s="6">
        <f>IF(OR(K52&gt;E52,K52&lt;F52),"FAIL","PASS")</f>
        <v/>
      </c>
      <c r="I52" s="7">
        <f>G52-D52</f>
        <v/>
      </c>
      <c r="J52" s="8">
        <f>IF(G52&gt;300,G52-360,0)</f>
        <v/>
      </c>
      <c r="K52" s="8">
        <f>IF(J52=0,G52,J52)</f>
        <v/>
      </c>
    </row>
    <row r="53" ht="15" customHeight="1">
      <c r="A53" s="11" t="n">
        <v>43</v>
      </c>
      <c r="B53" s="12" t="n">
        <v>99</v>
      </c>
      <c r="C53" s="11" t="n">
        <v>30</v>
      </c>
      <c r="D53" s="5" t="n">
        <v>220.4</v>
      </c>
      <c r="E53" s="9">
        <f>D53+1.5</f>
        <v/>
      </c>
      <c r="F53" s="9">
        <f>D53-1.5</f>
        <v/>
      </c>
      <c r="G53" s="25" t="n">
        <v>220.4</v>
      </c>
      <c r="H53" s="6">
        <f>IF(OR(K53&gt;E53,K53&lt;F53),"FAIL","PASS")</f>
        <v/>
      </c>
      <c r="I53" s="7">
        <f>G53-D53</f>
        <v/>
      </c>
      <c r="J53" s="8">
        <f>IF(G53&gt;300,G53-360,0)</f>
        <v/>
      </c>
      <c r="K53" s="8">
        <f>IF(J53=0,G53,J53)</f>
        <v/>
      </c>
    </row>
    <row r="54" ht="15" customHeight="1">
      <c r="A54" s="11" t="n">
        <v>44</v>
      </c>
      <c r="B54" s="12" t="n">
        <v>101</v>
      </c>
      <c r="C54" s="11" t="n">
        <v>202</v>
      </c>
      <c r="D54" s="5" t="n">
        <v>218.86</v>
      </c>
      <c r="E54" s="9">
        <f>D54+1.5</f>
        <v/>
      </c>
      <c r="F54" s="9">
        <f>D54-1.5</f>
        <v/>
      </c>
      <c r="G54" s="25" t="n">
        <v>218.86</v>
      </c>
      <c r="H54" s="6">
        <f>IF(OR(K54&gt;E54,K54&lt;F54),"FAIL","PASS")</f>
        <v/>
      </c>
      <c r="I54" s="7">
        <f>G54-D54</f>
        <v/>
      </c>
      <c r="J54" s="8">
        <f>IF(G54&gt;300,G54-360,0)</f>
        <v/>
      </c>
      <c r="K54" s="8">
        <f>IF(J54=0,G54,J54)</f>
        <v/>
      </c>
    </row>
    <row r="55" ht="15" customHeight="1">
      <c r="A55" s="11" t="n">
        <v>45</v>
      </c>
      <c r="B55" s="12" t="n">
        <v>104</v>
      </c>
      <c r="C55" s="11" t="n">
        <v>1.4</v>
      </c>
      <c r="D55" s="16" t="n">
        <v>217.31</v>
      </c>
      <c r="E55" s="9">
        <f>D55+1.5</f>
        <v/>
      </c>
      <c r="F55" s="9">
        <f>D55-1.5</f>
        <v/>
      </c>
      <c r="G55" s="25" t="n">
        <v>217.31</v>
      </c>
      <c r="H55" s="6">
        <f>IF(OR(K55&gt;E55,K55&lt;F55),"FAIL","PASS")</f>
        <v/>
      </c>
      <c r="I55" s="7">
        <f>G55-D55</f>
        <v/>
      </c>
      <c r="J55" s="8">
        <f>IF(G55&gt;300,G55-360,0)</f>
        <v/>
      </c>
      <c r="K55" s="8">
        <f>IF(J55=0,G55,J55)</f>
        <v/>
      </c>
    </row>
    <row r="56" ht="15" customHeight="1">
      <c r="A56" s="12" t="n">
        <v>46</v>
      </c>
      <c r="B56" s="12" t="n">
        <v>106</v>
      </c>
      <c r="C56" s="11" t="n">
        <v>186</v>
      </c>
      <c r="D56" s="5" t="n">
        <v>215.78</v>
      </c>
      <c r="E56" s="9">
        <f>D56+1.5</f>
        <v/>
      </c>
      <c r="F56" s="9">
        <f>D56-1.5</f>
        <v/>
      </c>
      <c r="G56" s="25" t="n">
        <v>215.78</v>
      </c>
      <c r="H56" s="6">
        <f>IF(OR(K56&gt;E56,K56&lt;F56),"FAIL","PASS")</f>
        <v/>
      </c>
      <c r="I56" s="7">
        <f>G56-D56</f>
        <v/>
      </c>
      <c r="J56" s="8">
        <f>IF(G56&gt;300,G56-360,0)</f>
        <v/>
      </c>
      <c r="K56" s="8">
        <f>IF(J56=0,G56,J56)</f>
        <v/>
      </c>
    </row>
    <row r="57" ht="15" customHeight="1">
      <c r="A57" s="11" t="n">
        <v>47</v>
      </c>
      <c r="B57" s="12" t="n">
        <v>108</v>
      </c>
      <c r="C57" s="11" t="n">
        <v>357</v>
      </c>
      <c r="D57" s="5" t="n">
        <v>214.27</v>
      </c>
      <c r="E57" s="9">
        <f>D57+1.5</f>
        <v/>
      </c>
      <c r="F57" s="9">
        <f>D57-1.5</f>
        <v/>
      </c>
      <c r="G57" s="25" t="n">
        <v>214.27</v>
      </c>
      <c r="H57" s="6">
        <f>IF(OR(K57&gt;E57,K57&lt;F57),"FAIL","PASS")</f>
        <v/>
      </c>
      <c r="I57" s="7">
        <f>G57-D57</f>
        <v/>
      </c>
      <c r="J57" s="8">
        <f>IF(G57&gt;300,G57-360,0)</f>
        <v/>
      </c>
      <c r="K57" s="8">
        <f>IF(J57=0,G57,J57)</f>
        <v/>
      </c>
    </row>
    <row r="58" ht="15" customHeight="1">
      <c r="A58" s="12" t="n">
        <v>48</v>
      </c>
      <c r="B58" s="12" t="n">
        <v>111</v>
      </c>
      <c r="C58" s="11" t="n">
        <v>169</v>
      </c>
      <c r="D58" s="5" t="n">
        <v>212.8</v>
      </c>
      <c r="E58" s="9">
        <f>D58+1.5</f>
        <v/>
      </c>
      <c r="F58" s="9">
        <f>D58-1.5</f>
        <v/>
      </c>
      <c r="G58" s="25" t="n">
        <v>212.8</v>
      </c>
      <c r="H58" s="6">
        <f>IF(OR(K58&gt;E58,K58&lt;F58),"FAIL","PASS")</f>
        <v/>
      </c>
      <c r="I58" s="7">
        <f>G58-D58</f>
        <v/>
      </c>
      <c r="J58" s="8">
        <f>IF(G58&gt;300,G58-360,0)</f>
        <v/>
      </c>
      <c r="K58" s="8">
        <f>IF(J58=0,G58,J58)</f>
        <v/>
      </c>
    </row>
    <row r="59" ht="15" customHeight="1">
      <c r="A59" s="12" t="n">
        <v>49</v>
      </c>
      <c r="B59" s="12" t="n">
        <v>113</v>
      </c>
      <c r="C59" s="11" t="n">
        <v>341</v>
      </c>
      <c r="D59" s="5" t="n">
        <v>211.16</v>
      </c>
      <c r="E59" s="9">
        <f>D59+1.5</f>
        <v/>
      </c>
      <c r="F59" s="9">
        <f>D59-1.5</f>
        <v/>
      </c>
      <c r="G59" s="25" t="n">
        <v>211.16</v>
      </c>
      <c r="H59" s="6">
        <f>IF(OR(K59&gt;E59,K59&lt;F59),"FAIL","PASS")</f>
        <v/>
      </c>
      <c r="I59" s="7">
        <f>G59-D59</f>
        <v/>
      </c>
      <c r="J59" s="8">
        <f>IF(G59&gt;300,G59-360,0)</f>
        <v/>
      </c>
      <c r="K59" s="8">
        <f>IF(J59=0,G59,J59)</f>
        <v/>
      </c>
    </row>
    <row r="60" ht="15" customHeight="1">
      <c r="A60" s="12" t="n">
        <v>50</v>
      </c>
      <c r="B60" s="12" t="n">
        <v>115</v>
      </c>
      <c r="C60" s="11" t="n">
        <v>156</v>
      </c>
      <c r="D60" s="5" t="n">
        <v>210</v>
      </c>
      <c r="E60" s="9">
        <f>D60+1.5</f>
        <v/>
      </c>
      <c r="F60" s="9">
        <f>D60-1.5</f>
        <v/>
      </c>
      <c r="G60" s="25" t="n">
        <v>210</v>
      </c>
      <c r="H60" s="6">
        <f>IF(OR(K60&gt;E60,K60&lt;F60),"FAIL","PASS")</f>
        <v/>
      </c>
      <c r="I60" s="7">
        <f>G60-D60</f>
        <v/>
      </c>
      <c r="J60" s="8">
        <f>IF(G60&gt;300,G60-360,0)</f>
        <v/>
      </c>
      <c r="K60" s="8">
        <f>IF(J60=0,G60,J60)</f>
        <v/>
      </c>
    </row>
    <row r="61" ht="15" customHeight="1">
      <c r="A61" s="12" t="n">
        <v>51</v>
      </c>
      <c r="B61" s="12" t="n">
        <v>116</v>
      </c>
      <c r="C61" s="11" t="n">
        <v>153</v>
      </c>
      <c r="D61" s="5" t="n">
        <v>209.19</v>
      </c>
      <c r="E61" s="9">
        <f>D61+1.5</f>
        <v/>
      </c>
      <c r="F61" s="9">
        <f>D61-1.5</f>
        <v/>
      </c>
      <c r="G61" s="25" t="n">
        <v>209.19</v>
      </c>
      <c r="H61" s="6">
        <f>IF(OR(K61&gt;E61,K61&lt;F61),"FAIL","PASS")</f>
        <v/>
      </c>
      <c r="I61" s="7">
        <f>G61-D61</f>
        <v/>
      </c>
      <c r="J61" s="8">
        <f>IF(G61&gt;300,G61-360,0)</f>
        <v/>
      </c>
      <c r="K61" s="8">
        <f>IF(J61=0,G61,J61)</f>
        <v/>
      </c>
    </row>
    <row r="62" ht="15" customHeight="1">
      <c r="A62" s="12" t="n">
        <v>52</v>
      </c>
      <c r="B62" s="12" t="n">
        <v>118</v>
      </c>
      <c r="C62" s="11" t="n">
        <v>324</v>
      </c>
      <c r="D62" s="5" t="n">
        <v>206.5</v>
      </c>
      <c r="E62" s="9">
        <f>D62+1.5</f>
        <v/>
      </c>
      <c r="F62" s="9">
        <f>D62-1.5</f>
        <v/>
      </c>
      <c r="G62" s="25" t="n">
        <v>206.5</v>
      </c>
      <c r="H62" s="6">
        <f>IF(OR(K62&gt;E62,K62&lt;F62),"FAIL","PASS")</f>
        <v/>
      </c>
      <c r="I62" s="7">
        <f>G62-D62</f>
        <v/>
      </c>
      <c r="J62" s="8">
        <f>IF(G62&gt;300,G62-360,0)</f>
        <v/>
      </c>
      <c r="K62" s="8">
        <f>IF(J62=0,G62,J62)</f>
        <v/>
      </c>
    </row>
    <row r="63" ht="15" customHeight="1">
      <c r="A63" s="12" t="n">
        <v>53</v>
      </c>
      <c r="B63" s="12" t="n">
        <v>121</v>
      </c>
      <c r="C63" s="11" t="n">
        <v>136</v>
      </c>
      <c r="D63" s="5" t="n">
        <v>203.79</v>
      </c>
      <c r="E63" s="9">
        <f>D63+1.5</f>
        <v/>
      </c>
      <c r="F63" s="9">
        <f>D63-1.5</f>
        <v/>
      </c>
      <c r="G63" s="25" t="n">
        <v>203.79</v>
      </c>
      <c r="H63" s="6">
        <f>IF(OR(K63&gt;E63,K63&lt;F63),"FAIL","PASS")</f>
        <v/>
      </c>
      <c r="I63" s="7">
        <f>G63-D63</f>
        <v/>
      </c>
      <c r="J63" s="8">
        <f>IF(G63&gt;300,G63-360,0)</f>
        <v/>
      </c>
      <c r="K63" s="8">
        <f>IF(J63=0,G63,J63)</f>
        <v/>
      </c>
    </row>
    <row r="64" ht="15" customHeight="1">
      <c r="A64" s="12" t="n">
        <v>54</v>
      </c>
      <c r="B64" s="12" t="n">
        <v>123</v>
      </c>
      <c r="C64" s="11" t="n">
        <v>308</v>
      </c>
      <c r="D64" s="5" t="n">
        <v>201.06</v>
      </c>
      <c r="E64" s="9">
        <f>D64+1.5</f>
        <v/>
      </c>
      <c r="F64" s="9">
        <f>D64-1.5</f>
        <v/>
      </c>
      <c r="G64" s="25" t="n">
        <v>201.06</v>
      </c>
      <c r="H64" s="6">
        <f>IF(OR(K64&gt;E64,K64&lt;F64),"FAIL","PASS")</f>
        <v/>
      </c>
      <c r="I64" s="7">
        <f>G64-D64</f>
        <v/>
      </c>
      <c r="J64" s="8">
        <f>IF(G64&gt;300,G64-360,0)</f>
        <v/>
      </c>
      <c r="K64" s="8">
        <f>IF(J64=0,G64,J64)</f>
        <v/>
      </c>
    </row>
    <row r="65" ht="15" customHeight="1">
      <c r="A65" s="12" t="n">
        <v>55</v>
      </c>
      <c r="B65" s="12" t="n">
        <v>126</v>
      </c>
      <c r="C65" s="11" t="n">
        <v>120</v>
      </c>
      <c r="D65" s="5" t="n">
        <v>198.3</v>
      </c>
      <c r="E65" s="9">
        <f>D65+1.5</f>
        <v/>
      </c>
      <c r="F65" s="9">
        <f>D65-1.5</f>
        <v/>
      </c>
      <c r="G65" s="25" t="n">
        <v>198.3</v>
      </c>
      <c r="H65" s="6">
        <f>IF(OR(K65&gt;E65,K65&lt;F65),"FAIL","PASS")</f>
        <v/>
      </c>
      <c r="I65" s="7">
        <f>G65-D65</f>
        <v/>
      </c>
      <c r="J65" s="8">
        <f>IF(G65&gt;300,G65-360,0)</f>
        <v/>
      </c>
      <c r="K65" s="8">
        <f>IF(J65=0,G65,J65)</f>
        <v/>
      </c>
    </row>
    <row r="66" ht="15" customHeight="1">
      <c r="A66" s="12" t="n">
        <v>56</v>
      </c>
      <c r="B66" s="12" t="n">
        <v>128</v>
      </c>
      <c r="C66" s="11" t="n">
        <v>291</v>
      </c>
      <c r="D66" s="5" t="n">
        <v>195.56</v>
      </c>
      <c r="E66" s="9">
        <f>D66+1.5</f>
        <v/>
      </c>
      <c r="F66" s="9">
        <f>D66-1.5</f>
        <v/>
      </c>
      <c r="G66" s="25" t="n">
        <v>195.56</v>
      </c>
      <c r="H66" s="6">
        <f>IF(OR(K66&gt;E66,K66&lt;F66),"FAIL","PASS")</f>
        <v/>
      </c>
      <c r="I66" s="7">
        <f>G66-D66</f>
        <v/>
      </c>
      <c r="J66" s="8">
        <f>IF(G66&gt;300,G66-360,0)</f>
        <v/>
      </c>
      <c r="K66" s="8">
        <f>IF(J66=0,G66,J66)</f>
        <v/>
      </c>
    </row>
    <row r="67" ht="15" customHeight="1">
      <c r="A67" s="12" t="n">
        <v>57</v>
      </c>
      <c r="B67" s="12" t="n">
        <v>131</v>
      </c>
      <c r="C67" s="11" t="n">
        <v>103</v>
      </c>
      <c r="D67" s="5" t="n">
        <v>192.78</v>
      </c>
      <c r="E67" s="9">
        <f>D67+1.5</f>
        <v/>
      </c>
      <c r="F67" s="9">
        <f>D67-1.5</f>
        <v/>
      </c>
      <c r="G67" s="25" t="n">
        <v>192.78</v>
      </c>
      <c r="H67" s="6">
        <f>IF(OR(K67&gt;E67,K67&lt;F67),"FAIL","PASS")</f>
        <v/>
      </c>
      <c r="I67" s="7">
        <f>G67-D67</f>
        <v/>
      </c>
      <c r="J67" s="8">
        <f>IF(G67&gt;300,G67-360,0)</f>
        <v/>
      </c>
      <c r="K67" s="8">
        <f>IF(J67=0,G67,J67)</f>
        <v/>
      </c>
    </row>
    <row r="68" ht="15" customHeight="1">
      <c r="A68" s="12" t="n">
        <v>58</v>
      </c>
      <c r="B68" s="12" t="n">
        <v>133</v>
      </c>
      <c r="C68" s="11" t="n">
        <v>275</v>
      </c>
      <c r="D68" s="5" t="n">
        <v>189.96</v>
      </c>
      <c r="E68" s="9">
        <f>D68+1.5</f>
        <v/>
      </c>
      <c r="F68" s="9">
        <f>D68-1.5</f>
        <v/>
      </c>
      <c r="G68" s="25" t="n">
        <v>189.96</v>
      </c>
      <c r="H68" s="6">
        <f>IF(OR(K68&gt;E68,K68&lt;F68),"FAIL","PASS")</f>
        <v/>
      </c>
      <c r="I68" s="7">
        <f>G68-D68</f>
        <v/>
      </c>
      <c r="J68" s="8">
        <f>IF(G68&gt;300,G68-360,0)</f>
        <v/>
      </c>
      <c r="K68" s="8">
        <f>IF(J68=0,G68,J68)</f>
        <v/>
      </c>
    </row>
    <row r="69" ht="15" customHeight="1">
      <c r="A69" s="12" t="n">
        <v>59</v>
      </c>
      <c r="B69" s="12" t="n">
        <v>136</v>
      </c>
      <c r="C69" s="11" t="n">
        <v>87</v>
      </c>
      <c r="D69" s="5" t="n">
        <v>187.17</v>
      </c>
      <c r="E69" s="9">
        <f>D69+1.5</f>
        <v/>
      </c>
      <c r="F69" s="9">
        <f>D69-1.5</f>
        <v/>
      </c>
      <c r="G69" s="25" t="n">
        <v>187.17</v>
      </c>
      <c r="H69" s="6">
        <f>IF(OR(K69&gt;E69,K69&lt;F69),"FAIL","PASS")</f>
        <v/>
      </c>
      <c r="I69" s="7">
        <f>G69-D69</f>
        <v/>
      </c>
      <c r="J69" s="8">
        <f>IF(G69&gt;300,G69-360,0)</f>
        <v/>
      </c>
      <c r="K69" s="8">
        <f>IF(J69=0,G69,J69)</f>
        <v/>
      </c>
    </row>
    <row r="70" ht="15" customHeight="1">
      <c r="A70" s="12" t="n">
        <v>60</v>
      </c>
      <c r="B70" s="12" t="n">
        <v>138</v>
      </c>
      <c r="C70" s="11" t="n">
        <v>258</v>
      </c>
      <c r="D70" s="5" t="n">
        <v>184.37</v>
      </c>
      <c r="E70" s="9">
        <f>D70+1.5</f>
        <v/>
      </c>
      <c r="F70" s="9">
        <f>D70-1.5</f>
        <v/>
      </c>
      <c r="G70" s="25" t="n">
        <v>184.37</v>
      </c>
      <c r="H70" s="6">
        <f>IF(OR(K70&gt;E70,K70&lt;F70),"FAIL","PASS")</f>
        <v/>
      </c>
      <c r="I70" s="7">
        <f>G70-D70</f>
        <v/>
      </c>
      <c r="J70" s="8">
        <f>IF(G70&gt;300,G70-360,0)</f>
        <v/>
      </c>
      <c r="K70" s="8">
        <f>IF(J70=0,G70,J70)</f>
        <v/>
      </c>
    </row>
    <row r="71" ht="15" customHeight="1">
      <c r="A71" s="12" t="n">
        <v>61</v>
      </c>
      <c r="B71" s="12" t="n">
        <v>141</v>
      </c>
      <c r="C71" s="12" t="n">
        <v>70</v>
      </c>
      <c r="D71" s="5" t="n">
        <v>181.49</v>
      </c>
      <c r="E71" s="9">
        <f>D71+1.5</f>
        <v/>
      </c>
      <c r="F71" s="9">
        <f>D71-1.5</f>
        <v/>
      </c>
      <c r="G71" s="25" t="n">
        <v>181.49</v>
      </c>
      <c r="H71" s="6">
        <f>IF(OR(K71&gt;E71,K71&lt;F71),"FAIL","PASS")</f>
        <v/>
      </c>
      <c r="I71" s="7">
        <f>G71-D71</f>
        <v/>
      </c>
      <c r="J71" s="8">
        <f>IF(G71&gt;300,G71-360,0)</f>
        <v/>
      </c>
      <c r="K71" s="8">
        <f>IF(J71=0,G71,J71)</f>
        <v/>
      </c>
    </row>
    <row r="72" ht="15" customHeight="1">
      <c r="A72" s="12" t="n">
        <v>62</v>
      </c>
      <c r="B72" s="12" t="n">
        <v>142</v>
      </c>
      <c r="C72" s="12" t="n">
        <v>37</v>
      </c>
      <c r="D72" s="5" t="n">
        <v>180</v>
      </c>
      <c r="E72" s="9">
        <f>D72+1.5</f>
        <v/>
      </c>
      <c r="F72" s="9">
        <f>D72-1.5</f>
        <v/>
      </c>
      <c r="G72" s="25" t="n">
        <v>180</v>
      </c>
      <c r="H72" s="6">
        <f>IF(OR(K72&gt;E72,K72&lt;F72),"FAIL","PASS")</f>
        <v/>
      </c>
      <c r="I72" s="7">
        <f>G72-D72</f>
        <v/>
      </c>
      <c r="J72" s="8">
        <f>IF(G72&gt;300,G72-360,0)</f>
        <v/>
      </c>
      <c r="K72" s="8">
        <f>IF(J72=0,G72,J72)</f>
        <v/>
      </c>
    </row>
    <row r="73" ht="15" customHeight="1">
      <c r="A73" s="12" t="n">
        <v>63</v>
      </c>
      <c r="B73" s="12" t="n">
        <v>143</v>
      </c>
      <c r="C73" s="12" t="n">
        <v>242</v>
      </c>
      <c r="D73" s="5" t="n">
        <v>178.65</v>
      </c>
      <c r="E73" s="9">
        <f>D73+1.5</f>
        <v/>
      </c>
      <c r="F73" s="9">
        <f>D73-1.5</f>
        <v/>
      </c>
      <c r="G73" s="25" t="n">
        <v>178.65</v>
      </c>
      <c r="H73" s="6">
        <f>IF(OR(K73&gt;E73,K73&lt;F73),"FAIL","PASS")</f>
        <v/>
      </c>
      <c r="I73" s="7">
        <f>G73-D73</f>
        <v/>
      </c>
      <c r="J73" s="8">
        <f>IF(G73&gt;300,G73-360,0)</f>
        <v/>
      </c>
      <c r="K73" s="8">
        <f>IF(J73=0,G73,J73)</f>
        <v/>
      </c>
    </row>
    <row r="74" ht="15" customHeight="1">
      <c r="A74" s="12" t="n">
        <v>64</v>
      </c>
      <c r="B74" s="12" t="n">
        <v>146</v>
      </c>
      <c r="C74" s="12" t="n">
        <v>54</v>
      </c>
      <c r="D74" s="5" t="n">
        <v>176.13</v>
      </c>
      <c r="E74" s="9">
        <f>D74+1.5</f>
        <v/>
      </c>
      <c r="F74" s="9">
        <f>D74-1.5</f>
        <v/>
      </c>
      <c r="G74" s="25" t="n">
        <v>176.13</v>
      </c>
      <c r="H74" s="6">
        <f>IF(OR(K74&gt;E74,K74&lt;F74),"FAIL","PASS")</f>
        <v/>
      </c>
      <c r="I74" s="7">
        <f>G74-D74</f>
        <v/>
      </c>
      <c r="J74" s="8">
        <f>IF(G74&gt;300,G74-360,0)</f>
        <v/>
      </c>
      <c r="K74" s="8">
        <f>IF(J74=0,G74,J74)</f>
        <v/>
      </c>
    </row>
    <row r="75" ht="15" customHeight="1">
      <c r="A75" s="12" t="n">
        <v>65</v>
      </c>
      <c r="B75" s="12" t="n">
        <v>148</v>
      </c>
      <c r="C75" s="12" t="n">
        <v>225</v>
      </c>
      <c r="D75" s="5" t="n">
        <v>173.38</v>
      </c>
      <c r="E75" s="9">
        <f>D75+1.5</f>
        <v/>
      </c>
      <c r="F75" s="9">
        <f>D75-1.5</f>
        <v/>
      </c>
      <c r="G75" s="25" t="n">
        <v>173.38</v>
      </c>
      <c r="H75" s="6">
        <f>IF(OR(K75&gt;E75,K75&lt;F75),"FAIL","PASS")</f>
        <v/>
      </c>
      <c r="I75" s="7">
        <f>G75-D75</f>
        <v/>
      </c>
      <c r="J75" s="8">
        <f>IF(G75&gt;300,G75-360,0)</f>
        <v/>
      </c>
      <c r="K75" s="8">
        <f>IF(J75=0,G75,J75)</f>
        <v/>
      </c>
    </row>
    <row r="76" ht="15" customHeight="1">
      <c r="A76" s="12" t="n">
        <v>66</v>
      </c>
      <c r="B76" s="12" t="n">
        <v>151</v>
      </c>
      <c r="C76" s="12" t="n">
        <v>37</v>
      </c>
      <c r="D76" s="5" t="n">
        <v>170.84</v>
      </c>
      <c r="E76" s="9">
        <f>D76+1.5</f>
        <v/>
      </c>
      <c r="F76" s="9">
        <f>D76-1.5</f>
        <v/>
      </c>
      <c r="G76" s="25" t="n">
        <v>170.84</v>
      </c>
      <c r="H76" s="6">
        <f>IF(OR(K76&gt;E76,K76&lt;F76),"FAIL","PASS")</f>
        <v/>
      </c>
      <c r="I76" s="7">
        <f>G76-D76</f>
        <v/>
      </c>
      <c r="J76" s="8">
        <f>IF(G76&gt;300,G76-360,0)</f>
        <v/>
      </c>
      <c r="K76" s="8">
        <f>IF(J76=0,G76,J76)</f>
        <v/>
      </c>
    </row>
    <row r="77" ht="15" customHeight="1">
      <c r="A77" s="12" t="n">
        <v>67</v>
      </c>
      <c r="B77" s="12" t="n">
        <v>153</v>
      </c>
      <c r="C77" s="12" t="n">
        <v>209</v>
      </c>
      <c r="D77" s="5" t="n">
        <v>167.79</v>
      </c>
      <c r="E77" s="9">
        <f>D77+1.5</f>
        <v/>
      </c>
      <c r="F77" s="9">
        <f>D77-1.5</f>
        <v/>
      </c>
      <c r="G77" s="25" t="n">
        <v>167.79</v>
      </c>
      <c r="H77" s="6">
        <f>IF(OR(K77&gt;E77,K77&lt;F77),"FAIL","PASS")</f>
        <v/>
      </c>
      <c r="I77" s="7">
        <f>G77-D77</f>
        <v/>
      </c>
      <c r="J77" s="8">
        <f>IF(G77&gt;300,G77-360,0)</f>
        <v/>
      </c>
      <c r="K77" s="8">
        <f>IF(J77=0,G77,J77)</f>
        <v/>
      </c>
    </row>
    <row r="78" ht="15" customHeight="1">
      <c r="A78" s="12" t="n">
        <v>68</v>
      </c>
      <c r="B78" s="12" t="n">
        <v>156</v>
      </c>
      <c r="C78" s="12" t="n">
        <v>21</v>
      </c>
      <c r="D78" s="5" t="n">
        <v>164.95</v>
      </c>
      <c r="E78" s="9">
        <f>D78+1.5</f>
        <v/>
      </c>
      <c r="F78" s="9">
        <f>D78-1.5</f>
        <v/>
      </c>
      <c r="G78" s="25" t="n">
        <v>164.95</v>
      </c>
      <c r="H78" s="6">
        <f>IF(OR(K78&gt;E78,K78&lt;F78),"FAIL","PASS")</f>
        <v/>
      </c>
      <c r="I78" s="7">
        <f>G78-D78</f>
        <v/>
      </c>
      <c r="J78" s="8">
        <f>IF(G78&gt;300,G78-360,0)</f>
        <v/>
      </c>
      <c r="K78" s="8">
        <f>IF(J78=0,G78,J78)</f>
        <v/>
      </c>
    </row>
    <row r="79" ht="15" customHeight="1">
      <c r="A79" s="12" t="n">
        <v>69</v>
      </c>
      <c r="B79" s="12" t="n">
        <v>158</v>
      </c>
      <c r="C79" s="12" t="n">
        <v>192</v>
      </c>
      <c r="D79" s="5" t="n">
        <v>162.15</v>
      </c>
      <c r="E79" s="9">
        <f>D79+1.5</f>
        <v/>
      </c>
      <c r="F79" s="9">
        <f>D79-1.5</f>
        <v/>
      </c>
      <c r="G79" s="25" t="n">
        <v>162.15</v>
      </c>
      <c r="H79" s="6">
        <f>IF(OR(K79&gt;E79,K79&lt;F79),"FAIL","PASS")</f>
        <v/>
      </c>
      <c r="I79" s="7">
        <f>G79-D79</f>
        <v/>
      </c>
      <c r="J79" s="8">
        <f>IF(G79&gt;300,G79-360,0)</f>
        <v/>
      </c>
      <c r="K79" s="8">
        <f>IF(J79=0,G79,J79)</f>
        <v/>
      </c>
    </row>
    <row r="80" ht="15" customHeight="1">
      <c r="A80" s="12" t="n">
        <v>70</v>
      </c>
      <c r="B80" s="12" t="n">
        <v>161</v>
      </c>
      <c r="C80" s="12" t="n">
        <v>4</v>
      </c>
      <c r="D80" s="5" t="n">
        <v>159.31</v>
      </c>
      <c r="E80" s="9">
        <f>D80+1.5</f>
        <v/>
      </c>
      <c r="F80" s="9">
        <f>D80-1.5</f>
        <v/>
      </c>
      <c r="G80" s="25" t="n">
        <v>159.31</v>
      </c>
      <c r="H80" s="6">
        <f>IF(OR(K80&gt;E80,K80&lt;F80),"FAIL","PASS")</f>
        <v/>
      </c>
      <c r="I80" s="7">
        <f>G80-D80</f>
        <v/>
      </c>
      <c r="J80" s="8">
        <f>IF(G80&gt;300,G80-360,0)</f>
        <v/>
      </c>
      <c r="K80" s="8">
        <f>IF(J80=0,G80,J80)</f>
        <v/>
      </c>
    </row>
    <row r="81" ht="15" customHeight="1">
      <c r="A81" s="12" t="n">
        <v>71</v>
      </c>
      <c r="B81" s="12" t="n">
        <v>163</v>
      </c>
      <c r="C81" s="12" t="n">
        <v>176</v>
      </c>
      <c r="D81" s="5" t="n">
        <v>156.46</v>
      </c>
      <c r="E81" s="9">
        <f>D81+1.5</f>
        <v/>
      </c>
      <c r="F81" s="9">
        <f>D81-1.5</f>
        <v/>
      </c>
      <c r="G81" s="25" t="n">
        <v>156.46</v>
      </c>
      <c r="H81" s="6">
        <f>IF(OR(K81&gt;E81,K81&lt;F81),"FAIL","PASS")</f>
        <v/>
      </c>
      <c r="I81" s="7">
        <f>G81-D81</f>
        <v/>
      </c>
      <c r="J81" s="8">
        <f>IF(G81&gt;300,G81-360,0)</f>
        <v/>
      </c>
      <c r="K81" s="8">
        <f>IF(J81=0,G81,J81)</f>
        <v/>
      </c>
    </row>
    <row r="82" ht="15" customHeight="1">
      <c r="A82" s="12" t="n">
        <v>72</v>
      </c>
      <c r="B82" s="12" t="n">
        <v>165</v>
      </c>
      <c r="C82" s="12" t="n">
        <v>348</v>
      </c>
      <c r="D82" s="5" t="n">
        <v>153.57</v>
      </c>
      <c r="E82" s="9">
        <f>D82+1.5</f>
        <v/>
      </c>
      <c r="F82" s="9">
        <f>D82-1.5</f>
        <v/>
      </c>
      <c r="G82" s="25" t="n">
        <v>153.57</v>
      </c>
      <c r="H82" s="6">
        <f>IF(OR(K82&gt;E82,K82&lt;F82),"FAIL","PASS")</f>
        <v/>
      </c>
      <c r="I82" s="7">
        <f>G82-D82</f>
        <v/>
      </c>
      <c r="J82" s="8">
        <f>IF(G82&gt;300,G82-360,0)</f>
        <v/>
      </c>
      <c r="K82" s="8">
        <f>IF(J82=0,G82,J82)</f>
        <v/>
      </c>
    </row>
    <row r="83" ht="15" customHeight="1">
      <c r="A83" s="12" t="n">
        <v>73</v>
      </c>
      <c r="B83" s="12" t="n">
        <v>168</v>
      </c>
      <c r="C83" s="12" t="n">
        <v>159</v>
      </c>
      <c r="D83" s="5" t="n">
        <v>150.72</v>
      </c>
      <c r="E83" s="9">
        <f>D83+1.5</f>
        <v/>
      </c>
      <c r="F83" s="9">
        <f>D83-1.5</f>
        <v/>
      </c>
      <c r="G83" s="25" t="n">
        <v>150.72</v>
      </c>
      <c r="H83" s="6">
        <f>IF(OR(K83&gt;E83,K83&lt;F83),"FAIL","PASS")</f>
        <v/>
      </c>
      <c r="I83" s="7">
        <f>G83-D83</f>
        <v/>
      </c>
      <c r="J83" s="8">
        <f>IF(G83&gt;300,G83-360,0)</f>
        <v/>
      </c>
      <c r="K83" s="8">
        <f>IF(J83=0,G83,J83)</f>
        <v/>
      </c>
    </row>
    <row r="84" ht="15" customHeight="1">
      <c r="A84" s="12" t="n">
        <v>74</v>
      </c>
      <c r="B84" s="12" t="n">
        <v>168</v>
      </c>
      <c r="C84" s="12" t="n">
        <v>278</v>
      </c>
      <c r="D84" s="5" t="n">
        <v>150</v>
      </c>
      <c r="E84" s="9">
        <f>D84+1.5</f>
        <v/>
      </c>
      <c r="F84" s="9">
        <f>D84-1.5</f>
        <v/>
      </c>
      <c r="G84" s="25" t="n">
        <v>150</v>
      </c>
      <c r="H84" s="6">
        <f>IF(OR(K84&gt;E84,K84&lt;F84),"FAIL","PASS")</f>
        <v/>
      </c>
      <c r="I84" s="7">
        <f>G84-D84</f>
        <v/>
      </c>
      <c r="J84" s="8">
        <f>IF(G84&gt;300,G84-360,0)</f>
        <v/>
      </c>
      <c r="K84" s="8">
        <f>IF(J84=0,G84,J84)</f>
        <v/>
      </c>
    </row>
    <row r="85" ht="15" customHeight="1">
      <c r="A85" s="12" t="n">
        <v>75</v>
      </c>
      <c r="B85" s="12" t="n">
        <v>170</v>
      </c>
      <c r="C85" s="12" t="n">
        <v>331</v>
      </c>
      <c r="D85" s="5" t="n">
        <v>148.18</v>
      </c>
      <c r="E85" s="9">
        <f>D85+1.5</f>
        <v/>
      </c>
      <c r="F85" s="9">
        <f>D85-1.5</f>
        <v/>
      </c>
      <c r="G85" s="25" t="n">
        <v>148.18</v>
      </c>
      <c r="H85" s="6">
        <f>IF(OR(K85&gt;E85,K85&lt;F85),"FAIL","PASS")</f>
        <v/>
      </c>
      <c r="I85" s="7">
        <f>G85-D85</f>
        <v/>
      </c>
      <c r="J85" s="8">
        <f>IF(G85&gt;300,G85-360,0)</f>
        <v/>
      </c>
      <c r="K85" s="8">
        <f>IF(J85=0,G85,J85)</f>
        <v/>
      </c>
    </row>
    <row r="86" ht="15" customHeight="1">
      <c r="A86" s="12" t="n">
        <v>76</v>
      </c>
      <c r="B86" s="12" t="n">
        <v>173</v>
      </c>
      <c r="C86" s="12" t="n">
        <v>143</v>
      </c>
      <c r="D86" s="5" t="n">
        <v>145.83</v>
      </c>
      <c r="E86" s="9">
        <f>D86+1.5</f>
        <v/>
      </c>
      <c r="F86" s="9">
        <f>D86-1.5</f>
        <v/>
      </c>
      <c r="G86" s="25" t="n">
        <v>145.83</v>
      </c>
      <c r="H86" s="6">
        <f>IF(OR(K86&gt;E86,K86&lt;F86),"FAIL","PASS")</f>
        <v/>
      </c>
      <c r="I86" s="7">
        <f>G86-D86</f>
        <v/>
      </c>
      <c r="J86" s="8">
        <f>IF(G86&gt;300,G86-360,0)</f>
        <v/>
      </c>
      <c r="K86" s="8">
        <f>IF(J86=0,G86,J86)</f>
        <v/>
      </c>
    </row>
    <row r="87" ht="15" customHeight="1">
      <c r="A87" s="12" t="n">
        <v>77</v>
      </c>
      <c r="B87" s="12" t="n">
        <v>175</v>
      </c>
      <c r="C87" s="12" t="n">
        <v>315</v>
      </c>
      <c r="D87" s="5" t="n">
        <v>143.48</v>
      </c>
      <c r="E87" s="9">
        <f>D87+1.5</f>
        <v/>
      </c>
      <c r="F87" s="9">
        <f>D87-1.5</f>
        <v/>
      </c>
      <c r="G87" s="25" t="n">
        <v>143.48</v>
      </c>
      <c r="H87" s="6">
        <f>IF(OR(K87&gt;E87,K87&lt;F87),"FAIL","PASS")</f>
        <v/>
      </c>
      <c r="I87" s="7">
        <f>G87-D87</f>
        <v/>
      </c>
      <c r="J87" s="8">
        <f>IF(G87&gt;300,G87-360,0)</f>
        <v/>
      </c>
      <c r="K87" s="8">
        <f>IF(J87=0,G87,J87)</f>
        <v/>
      </c>
    </row>
    <row r="88" ht="15" customHeight="1">
      <c r="A88" s="12" t="n">
        <v>78</v>
      </c>
      <c r="B88" s="12" t="n">
        <v>178</v>
      </c>
      <c r="C88" s="12" t="n">
        <v>126</v>
      </c>
      <c r="D88" s="5" t="n">
        <v>141.15</v>
      </c>
      <c r="E88" s="9">
        <f>D88+1.5</f>
        <v/>
      </c>
      <c r="F88" s="9">
        <f>D88-1.5</f>
        <v/>
      </c>
      <c r="G88" s="25" t="n">
        <v>141.15</v>
      </c>
      <c r="H88" s="6">
        <f>IF(OR(K88&gt;E88,K88&lt;F88),"FAIL","PASS")</f>
        <v/>
      </c>
      <c r="I88" s="7">
        <f>G88-D88</f>
        <v/>
      </c>
      <c r="J88" s="8">
        <f>IF(G88&gt;300,G88-360,0)</f>
        <v/>
      </c>
      <c r="K88" s="8">
        <f>IF(J88=0,G88,J88)</f>
        <v/>
      </c>
    </row>
    <row r="89" ht="15" customHeight="1">
      <c r="A89" s="12" t="n">
        <v>79</v>
      </c>
      <c r="B89" s="12" t="n">
        <v>180</v>
      </c>
      <c r="C89" s="12" t="n">
        <v>298</v>
      </c>
      <c r="D89" s="5" t="n">
        <v>138.85</v>
      </c>
      <c r="E89" s="9">
        <f>D89+1.5</f>
        <v/>
      </c>
      <c r="F89" s="9">
        <f>D89-1.5</f>
        <v/>
      </c>
      <c r="G89" s="25" t="n">
        <v>138.85</v>
      </c>
      <c r="H89" s="6">
        <f>IF(OR(K89&gt;E89,K89&lt;F89),"FAIL","PASS")</f>
        <v/>
      </c>
      <c r="I89" s="7">
        <f>G89-D89</f>
        <v/>
      </c>
      <c r="J89" s="8">
        <f>IF(G89&gt;300,G89-360,0)</f>
        <v/>
      </c>
      <c r="K89" s="8">
        <f>IF(J89=0,G89,J89)</f>
        <v/>
      </c>
    </row>
    <row r="90" ht="15" customHeight="1">
      <c r="A90" s="11" t="n">
        <v>80</v>
      </c>
      <c r="B90" s="12" t="n">
        <v>183</v>
      </c>
      <c r="C90" s="12" t="n">
        <v>110</v>
      </c>
      <c r="D90" s="5" t="n">
        <v>136.5</v>
      </c>
      <c r="E90" s="9">
        <f>D90+1.5</f>
        <v/>
      </c>
      <c r="F90" s="9">
        <f>D90-1.5</f>
        <v/>
      </c>
      <c r="G90" s="25" t="n">
        <v>136.5</v>
      </c>
      <c r="H90" s="6">
        <f>IF(OR(K90&gt;E90,K90&lt;F90),"FAIL","PASS")</f>
        <v/>
      </c>
      <c r="I90" s="7">
        <f>G90-D90</f>
        <v/>
      </c>
      <c r="J90" s="8">
        <f>IF(G90&gt;300,G90-360,0)</f>
        <v/>
      </c>
      <c r="K90" s="8">
        <f>IF(J90=0,G90,J90)</f>
        <v/>
      </c>
    </row>
    <row r="91" ht="15" customHeight="1">
      <c r="A91" s="12" t="n">
        <v>81</v>
      </c>
      <c r="B91" s="12" t="n">
        <v>185</v>
      </c>
      <c r="C91" s="12" t="n">
        <v>282</v>
      </c>
      <c r="D91" s="5" t="n">
        <v>134.13</v>
      </c>
      <c r="E91" s="9">
        <f>D91+1.5</f>
        <v/>
      </c>
      <c r="F91" s="9">
        <f>D91-1.5</f>
        <v/>
      </c>
      <c r="G91" s="25" t="n">
        <v>134.13</v>
      </c>
      <c r="H91" s="6">
        <f>IF(OR(K91&gt;E91,K91&lt;F91),"FAIL","PASS")</f>
        <v/>
      </c>
      <c r="I91" s="7">
        <f>G91-D91</f>
        <v/>
      </c>
      <c r="J91" s="8">
        <f>IF(G91&gt;300,G91-360,0)</f>
        <v/>
      </c>
      <c r="K91" s="8">
        <f>IF(J91=0,G91,J91)</f>
        <v/>
      </c>
    </row>
    <row r="92" ht="15" customHeight="1">
      <c r="A92" s="12" t="n">
        <v>82</v>
      </c>
      <c r="B92" s="12" t="n">
        <v>188</v>
      </c>
      <c r="C92" s="12" t="n">
        <v>93</v>
      </c>
      <c r="D92" s="5" t="n">
        <v>131.75</v>
      </c>
      <c r="E92" s="9">
        <f>D92+1.5</f>
        <v/>
      </c>
      <c r="F92" s="9">
        <f>D92-1.5</f>
        <v/>
      </c>
      <c r="G92" s="25" t="n">
        <v>131.75</v>
      </c>
      <c r="H92" s="6">
        <f>IF(OR(K92&gt;E92,K92&lt;F92),"FAIL","PASS")</f>
        <v/>
      </c>
      <c r="I92" s="7">
        <f>G92-D92</f>
        <v/>
      </c>
      <c r="J92" s="8">
        <f>IF(G92&gt;300,G92-360,0)</f>
        <v/>
      </c>
      <c r="K92" s="8">
        <f>IF(J92=0,G92,J92)</f>
        <v/>
      </c>
    </row>
    <row r="93" ht="15" customHeight="1">
      <c r="A93" s="12" t="n">
        <v>83</v>
      </c>
      <c r="B93" s="12" t="n">
        <v>190</v>
      </c>
      <c r="C93" s="12" t="n">
        <v>265</v>
      </c>
      <c r="D93" s="5" t="n">
        <v>129.36</v>
      </c>
      <c r="E93" s="9">
        <f>D93+1.5</f>
        <v/>
      </c>
      <c r="F93" s="9">
        <f>D93-1.5</f>
        <v/>
      </c>
      <c r="G93" s="25" t="n">
        <v>129.36</v>
      </c>
      <c r="H93" s="6">
        <f>IF(OR(K93&gt;E93,K93&lt;F93),"FAIL","PASS")</f>
        <v/>
      </c>
      <c r="I93" s="7">
        <f>G93-D93</f>
        <v/>
      </c>
      <c r="J93" s="8">
        <f>IF(G93&gt;300,G93-360,0)</f>
        <v/>
      </c>
      <c r="K93" s="8">
        <f>IF(J93=0,G93,J93)</f>
        <v/>
      </c>
    </row>
    <row r="94" ht="15" customHeight="1">
      <c r="A94" s="12" t="n">
        <v>84</v>
      </c>
      <c r="B94" s="12" t="n">
        <v>193</v>
      </c>
      <c r="C94" s="12" t="n">
        <v>77</v>
      </c>
      <c r="D94" s="5" t="n">
        <v>126.99</v>
      </c>
      <c r="E94" s="9">
        <f>D94+1.5</f>
        <v/>
      </c>
      <c r="F94" s="9">
        <f>D94-1.5</f>
        <v/>
      </c>
      <c r="G94" s="25" t="n">
        <v>126.99</v>
      </c>
      <c r="H94" s="6">
        <f>IF(OR(K94&gt;E94,K94&lt;F94),"FAIL","PASS")</f>
        <v/>
      </c>
      <c r="I94" s="7">
        <f>G94-D94</f>
        <v/>
      </c>
      <c r="J94" s="8">
        <f>IF(G94&gt;300,G94-360,0)</f>
        <v/>
      </c>
      <c r="K94" s="8">
        <f>IF(J94=0,G94,J94)</f>
        <v/>
      </c>
    </row>
    <row r="95" ht="15" customHeight="1">
      <c r="A95" s="12" t="n">
        <v>85</v>
      </c>
      <c r="B95" s="12" t="n">
        <v>195</v>
      </c>
      <c r="C95" s="12" t="n">
        <v>249</v>
      </c>
      <c r="D95" s="5" t="n">
        <v>124.64</v>
      </c>
      <c r="E95" s="9">
        <f>D95+1.5</f>
        <v/>
      </c>
      <c r="F95" s="9">
        <f>D95-1.5</f>
        <v/>
      </c>
      <c r="G95" s="25" t="n">
        <v>124.64</v>
      </c>
      <c r="H95" s="6">
        <f>IF(OR(K95&gt;E95,K95&lt;F95),"FAIL","PASS")</f>
        <v/>
      </c>
      <c r="I95" s="7">
        <f>G95-D95</f>
        <v/>
      </c>
      <c r="J95" s="8">
        <f>IF(G95&gt;300,G95-360,0)</f>
        <v/>
      </c>
      <c r="K95" s="8">
        <f>IF(J95=0,G95,J95)</f>
        <v/>
      </c>
    </row>
    <row r="96" ht="15" customHeight="1">
      <c r="A96" s="12" t="n">
        <v>86</v>
      </c>
      <c r="B96" s="15" t="n">
        <v>198</v>
      </c>
      <c r="C96" s="12" t="n">
        <v>61</v>
      </c>
      <c r="D96" s="5" t="n">
        <v>122.28</v>
      </c>
      <c r="E96" s="9">
        <f>D96+1.5</f>
        <v/>
      </c>
      <c r="F96" s="9">
        <f>D96-1.5</f>
        <v/>
      </c>
      <c r="G96" s="25" t="n">
        <v>122.28</v>
      </c>
      <c r="H96" s="6">
        <f>IF(OR(K96&gt;E96,K96&lt;F96),"FAIL","PASS")</f>
        <v/>
      </c>
      <c r="I96" s="7">
        <f>G96-D96</f>
        <v/>
      </c>
      <c r="J96" s="8">
        <f>IF(G96&gt;300,G96-360,0)</f>
        <v/>
      </c>
      <c r="K96" s="8">
        <f>IF(J96=0,G96,J96)</f>
        <v/>
      </c>
    </row>
    <row r="97" ht="15" customHeight="1">
      <c r="A97" s="12" t="n">
        <v>87</v>
      </c>
      <c r="B97" s="12" t="n">
        <v>200</v>
      </c>
      <c r="C97" s="12" t="n">
        <v>252</v>
      </c>
      <c r="D97" s="5" t="n">
        <v>119.89</v>
      </c>
      <c r="E97" s="9">
        <f>D97+1.5</f>
        <v/>
      </c>
      <c r="F97" s="9">
        <f>D97-1.5</f>
        <v/>
      </c>
      <c r="G97" s="25" t="n">
        <v>119.89</v>
      </c>
      <c r="H97" s="6">
        <f>IF(OR(K97&gt;E97,K97&lt;F97),"FAIL","PASS")</f>
        <v/>
      </c>
      <c r="I97" s="7">
        <f>G97-D97</f>
        <v/>
      </c>
      <c r="J97" s="8">
        <f>IF(G97&gt;300,G97-360,0)</f>
        <v/>
      </c>
      <c r="K97" s="8">
        <f>IF(J97=0,G97,J97)</f>
        <v/>
      </c>
    </row>
    <row r="98" ht="15" customHeight="1">
      <c r="A98" s="12" t="n">
        <v>88</v>
      </c>
      <c r="B98" s="12" t="n">
        <v>203</v>
      </c>
      <c r="C98" s="12" t="n">
        <v>44</v>
      </c>
      <c r="D98" s="5" t="n">
        <v>117.51</v>
      </c>
      <c r="E98" s="9">
        <f>D98+1.5</f>
        <v/>
      </c>
      <c r="F98" s="9">
        <f>D98-1.5</f>
        <v/>
      </c>
      <c r="G98" s="25" t="n">
        <v>117.51</v>
      </c>
      <c r="H98" s="6">
        <f>IF(OR(K98&gt;E98,K98&lt;F98),"FAIL","PASS")</f>
        <v/>
      </c>
      <c r="I98" s="7">
        <f>G98-D98</f>
        <v/>
      </c>
      <c r="J98" s="8">
        <f>IF(G98&gt;300,G98-360,0)</f>
        <v/>
      </c>
      <c r="K98" s="8">
        <f>IF(J98=0,G98,J98)</f>
        <v/>
      </c>
    </row>
    <row r="99" ht="15" customHeight="1">
      <c r="A99" s="12" t="n">
        <v>89</v>
      </c>
      <c r="B99" s="12" t="n">
        <v>205</v>
      </c>
      <c r="C99" s="12" t="n">
        <v>216</v>
      </c>
      <c r="D99" s="5" t="n">
        <v>115.13</v>
      </c>
      <c r="E99" s="9">
        <f>D99+1.5</f>
        <v/>
      </c>
      <c r="F99" s="9">
        <f>D99-1.5</f>
        <v/>
      </c>
      <c r="G99" s="25" t="n">
        <v>115.13</v>
      </c>
      <c r="H99" s="6">
        <f>IF(OR(K99&gt;E99,K99&lt;F99),"FAIL","PASS")</f>
        <v/>
      </c>
      <c r="I99" s="7">
        <f>G99-D99</f>
        <v/>
      </c>
      <c r="J99" s="8">
        <f>IF(G99&gt;300,G99-360,0)</f>
        <v/>
      </c>
      <c r="K99" s="8">
        <f>IF(J99=0,G99,J99)</f>
        <v/>
      </c>
    </row>
    <row r="100" ht="15" customHeight="1">
      <c r="A100" s="12" t="n">
        <v>90</v>
      </c>
      <c r="B100" s="12" t="n">
        <v>207</v>
      </c>
      <c r="C100" s="12" t="n">
        <v>283</v>
      </c>
      <c r="D100" s="5" t="n">
        <v>113</v>
      </c>
      <c r="E100" s="9">
        <f>D100+1.5</f>
        <v/>
      </c>
      <c r="F100" s="9">
        <f>D100-1.5</f>
        <v/>
      </c>
      <c r="G100" s="25" t="n">
        <v>113</v>
      </c>
      <c r="H100" s="6">
        <f>IF(OR(K100&gt;E100,K100&lt;F100),"FAIL","PASS")</f>
        <v/>
      </c>
      <c r="I100" s="7">
        <f>G100-D100</f>
        <v/>
      </c>
      <c r="J100" s="8">
        <f>IF(G100&gt;300,G100-360,0)</f>
        <v/>
      </c>
      <c r="K100" s="8">
        <f>IF(J100=0,G100,J100)</f>
        <v/>
      </c>
    </row>
    <row r="101" ht="15" customHeight="1">
      <c r="A101" s="12" t="n">
        <v>91</v>
      </c>
      <c r="B101" s="12" t="n">
        <v>208</v>
      </c>
      <c r="C101" s="12" t="n">
        <v>28</v>
      </c>
      <c r="D101" s="5" t="n">
        <v>112.67</v>
      </c>
      <c r="E101" s="9">
        <f>D101+1.5</f>
        <v/>
      </c>
      <c r="F101" s="9">
        <f>D101-1.5</f>
        <v/>
      </c>
      <c r="G101" s="25" t="n">
        <v>112.67</v>
      </c>
      <c r="H101" s="6">
        <f>IF(OR(K101&gt;E101,K101&lt;F101),"FAIL","PASS")</f>
        <v/>
      </c>
      <c r="I101" s="7">
        <f>G101-D101</f>
        <v/>
      </c>
      <c r="J101" s="8">
        <f>IF(G101&gt;300,G101-360,0)</f>
        <v/>
      </c>
      <c r="K101" s="8">
        <f>IF(J101=0,G101,J101)</f>
        <v/>
      </c>
    </row>
    <row r="102" ht="15" customHeight="1">
      <c r="A102" s="12" t="n">
        <v>92</v>
      </c>
      <c r="B102" s="12" t="n">
        <v>210</v>
      </c>
      <c r="C102" s="12" t="n">
        <v>199</v>
      </c>
      <c r="D102" s="5" t="n">
        <v>110.26</v>
      </c>
      <c r="E102" s="9">
        <f>D102+1.5</f>
        <v/>
      </c>
      <c r="F102" s="9">
        <f>D102-1.5</f>
        <v/>
      </c>
      <c r="G102" s="25" t="n">
        <v>110.26</v>
      </c>
      <c r="H102" s="6">
        <f>IF(OR(K102&gt;E102,K102&lt;F102),"FAIL","PASS")</f>
        <v/>
      </c>
      <c r="I102" s="7">
        <f>G102-D102</f>
        <v/>
      </c>
      <c r="J102" s="8">
        <f>IF(G102&gt;300,G102-360,0)</f>
        <v/>
      </c>
      <c r="K102" s="8">
        <f>IF(J102=0,G102,J102)</f>
        <v/>
      </c>
    </row>
    <row r="103" ht="15" customHeight="1">
      <c r="A103" s="12" t="n">
        <v>93</v>
      </c>
      <c r="B103" s="12" t="n">
        <v>213</v>
      </c>
      <c r="C103" s="12" t="n">
        <v>11</v>
      </c>
      <c r="D103" s="5" t="n">
        <v>107.62</v>
      </c>
      <c r="E103" s="9">
        <f>D103+1.5</f>
        <v/>
      </c>
      <c r="F103" s="9">
        <f>D103-1.5</f>
        <v/>
      </c>
      <c r="G103" s="25" t="n">
        <v>107.62</v>
      </c>
      <c r="H103" s="6">
        <f>IF(OR(K103&gt;E103,K103&lt;F103),"FAIL","PASS")</f>
        <v/>
      </c>
      <c r="I103" s="7">
        <f>G103-D103</f>
        <v/>
      </c>
      <c r="J103" s="8">
        <f>IF(G103&gt;300,G103-360,0)</f>
        <v/>
      </c>
      <c r="K103" s="8">
        <f>IF(J103=0,G103,J103)</f>
        <v/>
      </c>
    </row>
    <row r="104" ht="15" customHeight="1">
      <c r="A104" s="12" t="n">
        <v>94</v>
      </c>
      <c r="B104" s="15" t="n">
        <v>215</v>
      </c>
      <c r="C104" s="12" t="n">
        <v>183</v>
      </c>
      <c r="D104" s="5" t="n">
        <v>104.97</v>
      </c>
      <c r="E104" s="9">
        <f>D104+1.5</f>
        <v/>
      </c>
      <c r="F104" s="9">
        <f>D104-1.5</f>
        <v/>
      </c>
      <c r="G104" s="25" t="n">
        <v>104.97</v>
      </c>
      <c r="H104" s="6">
        <f>IF(OR(K104&gt;E104,K104&lt;F104),"FAIL","PASS")</f>
        <v/>
      </c>
      <c r="I104" s="7">
        <f>G104-D104</f>
        <v/>
      </c>
      <c r="J104" s="8">
        <f>IF(G104&gt;300,G104-360,0)</f>
        <v/>
      </c>
      <c r="K104" s="8">
        <f>IF(J104=0,G104,J104)</f>
        <v/>
      </c>
    </row>
    <row r="105" ht="15" customHeight="1">
      <c r="A105" s="12" t="n">
        <v>95</v>
      </c>
      <c r="B105" s="12" t="n">
        <v>217</v>
      </c>
      <c r="C105" s="12" t="n">
        <v>355</v>
      </c>
      <c r="D105" s="5" t="n">
        <v>102.3</v>
      </c>
      <c r="E105" s="9">
        <f>D105+1.5</f>
        <v/>
      </c>
      <c r="F105" s="9">
        <f>D105-1.5</f>
        <v/>
      </c>
      <c r="G105" s="25" t="n">
        <v>102.3</v>
      </c>
      <c r="H105" s="6">
        <f>IF(OR(K105&gt;E105,K105&lt;F105),"FAIL","PASS")</f>
        <v/>
      </c>
      <c r="I105" s="7">
        <f>G105-D105</f>
        <v/>
      </c>
      <c r="J105" s="8">
        <f>IF(G105&gt;300,G105-360,0)</f>
        <v/>
      </c>
      <c r="K105" s="8">
        <f>IF(J105=0,G105,J105)</f>
        <v/>
      </c>
    </row>
    <row r="106" ht="15" customHeight="1">
      <c r="A106" s="12" t="n">
        <v>96</v>
      </c>
      <c r="B106" s="12" t="n">
        <v>220</v>
      </c>
      <c r="C106" s="12" t="n">
        <v>166</v>
      </c>
      <c r="D106" s="5" t="n">
        <v>99.62</v>
      </c>
      <c r="E106" s="9">
        <f>D106+1.5</f>
        <v/>
      </c>
      <c r="F106" s="9">
        <f>D106-1.5</f>
        <v/>
      </c>
      <c r="G106" s="25" t="n">
        <v>99.62</v>
      </c>
      <c r="H106" s="6">
        <f>IF(OR(K106&gt;E106,K106&lt;F106),"FAIL","PASS")</f>
        <v/>
      </c>
      <c r="I106" s="7">
        <f>G106-D106</f>
        <v/>
      </c>
      <c r="J106" s="8">
        <f>IF(G106&gt;300,G106-360,0)</f>
        <v/>
      </c>
      <c r="K106" s="8">
        <f>IF(J106=0,G106,J106)</f>
        <v/>
      </c>
    </row>
    <row r="107" ht="15" customHeight="1">
      <c r="A107" s="12" t="n">
        <v>97</v>
      </c>
      <c r="B107" s="12" t="n">
        <v>222</v>
      </c>
      <c r="C107" s="12" t="n">
        <v>338</v>
      </c>
      <c r="D107" s="5" t="n">
        <v>96.90000000000001</v>
      </c>
      <c r="E107" s="9">
        <f>D107+1.5</f>
        <v/>
      </c>
      <c r="F107" s="9">
        <f>D107-1.5</f>
        <v/>
      </c>
      <c r="G107" s="25" t="n">
        <v>96.90000000000001</v>
      </c>
      <c r="H107" s="6">
        <f>IF(OR(K107&gt;E107,K107&lt;F107),"FAIL","PASS")</f>
        <v/>
      </c>
      <c r="I107" s="7">
        <f>G107-D107</f>
        <v/>
      </c>
      <c r="J107" s="8">
        <f>IF(G107&gt;300,G107-360,0)</f>
        <v/>
      </c>
      <c r="K107" s="8">
        <f>IF(J107=0,G107,J107)</f>
        <v/>
      </c>
    </row>
    <row r="108" ht="15" customHeight="1">
      <c r="A108" s="12" t="n">
        <v>98</v>
      </c>
      <c r="B108" s="12" t="n">
        <v>225</v>
      </c>
      <c r="C108" s="12" t="n">
        <v>150</v>
      </c>
      <c r="D108" s="5" t="n">
        <v>94.2</v>
      </c>
      <c r="E108" s="9">
        <f>D108+1.5</f>
        <v/>
      </c>
      <c r="F108" s="9">
        <f>D108-1.5</f>
        <v/>
      </c>
      <c r="G108" s="25" t="n">
        <v>94.2</v>
      </c>
      <c r="H108" s="6">
        <f>IF(OR(K108&gt;E108,K108&lt;F108),"FAIL","PASS")</f>
        <v/>
      </c>
      <c r="I108" s="7">
        <f>G108-D108</f>
        <v/>
      </c>
      <c r="J108" s="8">
        <f>IF(G108&gt;300,G108-360,0)</f>
        <v/>
      </c>
      <c r="K108" s="8">
        <f>IF(J108=0,G108,J108)</f>
        <v/>
      </c>
    </row>
    <row r="109" ht="15" customHeight="1">
      <c r="A109" s="12" t="n">
        <v>99</v>
      </c>
      <c r="B109" s="12" t="n">
        <v>227</v>
      </c>
      <c r="C109" s="12" t="n">
        <v>322</v>
      </c>
      <c r="D109" s="5" t="n">
        <v>91.36</v>
      </c>
      <c r="E109" s="9">
        <f>D109+1.5</f>
        <v/>
      </c>
      <c r="F109" s="9">
        <f>D109-1.5</f>
        <v/>
      </c>
      <c r="G109" s="25" t="n">
        <v>91.36</v>
      </c>
      <c r="H109" s="6">
        <f>IF(OR(K109&gt;E109,K109&lt;F109),"FAIL","PASS")</f>
        <v/>
      </c>
      <c r="I109" s="7">
        <f>G109-D109</f>
        <v/>
      </c>
      <c r="J109" s="8">
        <f>IF(G109&gt;300,G109-360,0)</f>
        <v/>
      </c>
      <c r="K109" s="8">
        <f>IF(J109=0,G109,J109)</f>
        <v/>
      </c>
    </row>
    <row r="110" ht="15" customHeight="1">
      <c r="A110" s="12" t="n">
        <v>100</v>
      </c>
      <c r="B110" s="12" t="n">
        <v>230</v>
      </c>
      <c r="C110" s="12" t="n">
        <v>133</v>
      </c>
      <c r="D110" s="5" t="n">
        <v>88.62</v>
      </c>
      <c r="E110" s="9">
        <f>D110+1.5</f>
        <v/>
      </c>
      <c r="F110" s="9">
        <f>D110-1.5</f>
        <v/>
      </c>
      <c r="G110" s="25" t="n">
        <v>88.62</v>
      </c>
      <c r="H110" s="6">
        <f>IF(OR(K110&gt;E110,K110&lt;F110),"FAIL","PASS")</f>
        <v/>
      </c>
      <c r="I110" s="7">
        <f>G110-D110</f>
        <v/>
      </c>
      <c r="J110" s="8">
        <f>IF(G110&gt;300,G110-360,0)</f>
        <v/>
      </c>
      <c r="K110" s="8">
        <f>IF(J110=0,G110,J110)</f>
        <v/>
      </c>
    </row>
    <row r="111" ht="15" customHeight="1">
      <c r="A111" s="12" t="n">
        <v>101</v>
      </c>
      <c r="B111" s="12" t="n">
        <v>232</v>
      </c>
      <c r="C111" s="12" t="n">
        <v>305</v>
      </c>
      <c r="D111" s="5" t="n">
        <v>86.11</v>
      </c>
      <c r="E111" s="9">
        <f>D111+1.5</f>
        <v/>
      </c>
      <c r="F111" s="9">
        <f>D111-1.5</f>
        <v/>
      </c>
      <c r="G111" s="25" t="n">
        <v>86.11</v>
      </c>
      <c r="H111" s="6">
        <f>IF(OR(K111&gt;E111,K111&lt;F111),"FAIL","PASS")</f>
        <v/>
      </c>
      <c r="I111" s="7">
        <f>G111-D111</f>
        <v/>
      </c>
      <c r="J111" s="8">
        <f>IF(G111&gt;300,G111-360,0)</f>
        <v/>
      </c>
      <c r="K111" s="8">
        <f>IF(J111=0,G111,J111)</f>
        <v/>
      </c>
    </row>
    <row r="112" ht="15" customHeight="1">
      <c r="A112" s="12" t="n">
        <v>102</v>
      </c>
      <c r="B112" s="12" t="n">
        <v>235</v>
      </c>
      <c r="C112" s="12" t="n">
        <v>117</v>
      </c>
      <c r="D112" s="5" t="n">
        <v>83.73999999999999</v>
      </c>
      <c r="E112" s="9">
        <f>D112+1.5</f>
        <v/>
      </c>
      <c r="F112" s="9">
        <f>D112-1.5</f>
        <v/>
      </c>
      <c r="G112" s="25" t="n">
        <v>83.73999999999999</v>
      </c>
      <c r="H112" s="6">
        <f>IF(OR(K112&gt;E112,K112&lt;F112),"FAIL","PASS")</f>
        <v/>
      </c>
      <c r="I112" s="7">
        <f>G112-D112</f>
        <v/>
      </c>
      <c r="J112" s="8">
        <f>IF(G112&gt;300,G112-360,0)</f>
        <v/>
      </c>
      <c r="K112" s="8">
        <f>IF(J112=0,G112,J112)</f>
        <v/>
      </c>
    </row>
    <row r="113" ht="15" customHeight="1">
      <c r="A113" s="12" t="n">
        <v>103</v>
      </c>
      <c r="B113" s="12" t="n">
        <v>237</v>
      </c>
      <c r="C113" s="12" t="n">
        <v>289</v>
      </c>
      <c r="D113" s="5" t="n">
        <v>81.28</v>
      </c>
      <c r="E113" s="9">
        <f>D113+1.5</f>
        <v/>
      </c>
      <c r="F113" s="9">
        <f>D113-1.5</f>
        <v/>
      </c>
      <c r="G113" s="25" t="n">
        <v>81.28</v>
      </c>
      <c r="H113" s="6">
        <f>IF(OR(K113&gt;E113,K113&lt;F113),"FAIL","PASS")</f>
        <v/>
      </c>
      <c r="I113" s="7">
        <f>G113-D113</f>
        <v/>
      </c>
      <c r="J113" s="8">
        <f>IF(G113&gt;300,G113-360,0)</f>
        <v/>
      </c>
      <c r="K113" s="8">
        <f>IF(J113=0,G113,J113)</f>
        <v/>
      </c>
    </row>
    <row r="114" ht="15" customHeight="1">
      <c r="A114" s="12" t="n">
        <v>104</v>
      </c>
      <c r="B114" s="12" t="n">
        <v>240</v>
      </c>
      <c r="C114" s="12" t="n">
        <v>100</v>
      </c>
      <c r="D114" s="5" t="n">
        <v>78.87</v>
      </c>
      <c r="E114" s="9">
        <f>D114+1.5</f>
        <v/>
      </c>
      <c r="F114" s="9">
        <f>D114-1.5</f>
        <v/>
      </c>
      <c r="G114" s="25" t="n">
        <v>78.87</v>
      </c>
      <c r="H114" s="6">
        <f>IF(OR(K114&gt;E114,K114&lt;F114),"FAIL","PASS")</f>
        <v/>
      </c>
      <c r="I114" s="7">
        <f>G114-D114</f>
        <v/>
      </c>
      <c r="J114" s="8">
        <f>IF(G114&gt;300,G114-360,0)</f>
        <v/>
      </c>
      <c r="K114" s="8">
        <f>IF(J114=0,G114,J114)</f>
        <v/>
      </c>
    </row>
    <row r="115" ht="15" customHeight="1">
      <c r="A115" s="12" t="n">
        <v>105</v>
      </c>
      <c r="B115" s="15" t="n">
        <v>242</v>
      </c>
      <c r="C115" s="11" t="n">
        <v>272</v>
      </c>
      <c r="D115" s="5" t="n">
        <v>76.54000000000001</v>
      </c>
      <c r="E115" s="9">
        <f>D115+1.5</f>
        <v/>
      </c>
      <c r="F115" s="9">
        <f>D115-1.5</f>
        <v/>
      </c>
      <c r="G115" s="25" t="n">
        <v>76.54000000000001</v>
      </c>
      <c r="H115" s="6">
        <f>IF(OR(K115&gt;E115,K115&lt;F115),"FAIL","PASS")</f>
        <v/>
      </c>
      <c r="I115" s="7">
        <f>G115-D115</f>
        <v/>
      </c>
      <c r="J115" s="8">
        <f>IF(G115&gt;300,G115-360,0)</f>
        <v/>
      </c>
      <c r="K115" s="8">
        <f>IF(J115=0,G115,J115)</f>
        <v/>
      </c>
    </row>
    <row r="116" ht="15" customHeight="1">
      <c r="A116" s="12" t="n">
        <v>106</v>
      </c>
      <c r="B116" s="12" t="n">
        <v>243</v>
      </c>
      <c r="C116" s="12" t="n">
        <v>74</v>
      </c>
      <c r="D116" s="5" t="n">
        <v>76</v>
      </c>
      <c r="E116" s="9">
        <f>D116+1.5</f>
        <v/>
      </c>
      <c r="F116" s="9">
        <f>D116-1.5</f>
        <v/>
      </c>
      <c r="G116" s="25" t="n">
        <v>76</v>
      </c>
      <c r="H116" s="6">
        <f>IF(OR(K116&gt;E116,K116&lt;F116),"FAIL","PASS")</f>
        <v/>
      </c>
      <c r="I116" s="7">
        <f>G116-D116</f>
        <v/>
      </c>
      <c r="J116" s="8">
        <f>IF(G116&gt;300,G116-360,0)</f>
        <v/>
      </c>
      <c r="K116" s="8">
        <f>IF(J116=0,G116,J116)</f>
        <v/>
      </c>
    </row>
    <row r="117" ht="15" customHeight="1">
      <c r="A117" s="12" t="n">
        <v>107</v>
      </c>
      <c r="B117" s="12" t="n">
        <v>245</v>
      </c>
      <c r="C117" s="12" t="n">
        <v>84</v>
      </c>
      <c r="D117" s="5" t="n">
        <v>74.06</v>
      </c>
      <c r="E117" s="9">
        <f>D117+1.5</f>
        <v/>
      </c>
      <c r="F117" s="9">
        <f>D117-1.5</f>
        <v/>
      </c>
      <c r="G117" s="25" t="n">
        <v>74.06</v>
      </c>
      <c r="H117" s="6">
        <f>IF(OR(K117&gt;E117,K117&lt;F117),"FAIL","PASS")</f>
        <v/>
      </c>
      <c r="I117" s="7">
        <f>G117-D117</f>
        <v/>
      </c>
      <c r="J117" s="8">
        <f>IF(G117&gt;300,G117-360,0)</f>
        <v/>
      </c>
      <c r="K117" s="8">
        <f>IF(J117=0,G117,J117)</f>
        <v/>
      </c>
    </row>
    <row r="118" ht="15" customHeight="1">
      <c r="A118" s="12" t="n">
        <v>108</v>
      </c>
      <c r="B118" s="12" t="n">
        <v>247</v>
      </c>
      <c r="C118" s="12" t="n">
        <v>256</v>
      </c>
      <c r="D118" s="5" t="n">
        <v>71.59</v>
      </c>
      <c r="E118" s="9">
        <f>D118+1.5</f>
        <v/>
      </c>
      <c r="F118" s="9">
        <f>D118-1.5</f>
        <v/>
      </c>
      <c r="G118" s="25" t="n">
        <v>71.59</v>
      </c>
      <c r="H118" s="6">
        <f>IF(OR(K118&gt;E118,K118&lt;F118),"FAIL","PASS")</f>
        <v/>
      </c>
      <c r="I118" s="7">
        <f>G118-D118</f>
        <v/>
      </c>
      <c r="J118" s="8">
        <f>IF(G118&gt;300,G118-360,0)</f>
        <v/>
      </c>
      <c r="K118" s="8">
        <f>IF(J118=0,G118,J118)</f>
        <v/>
      </c>
    </row>
    <row r="119" ht="15" customHeight="1">
      <c r="A119" s="12" t="n">
        <v>109</v>
      </c>
      <c r="B119" s="12" t="n">
        <v>250</v>
      </c>
      <c r="C119" s="12" t="n">
        <v>67</v>
      </c>
      <c r="D119" s="5" t="n">
        <v>69.14</v>
      </c>
      <c r="E119" s="9">
        <f>D119+1.5</f>
        <v/>
      </c>
      <c r="F119" s="9">
        <f>D119-1.5</f>
        <v/>
      </c>
      <c r="G119" s="25" t="n">
        <v>69.14</v>
      </c>
      <c r="H119" s="6">
        <f>IF(OR(K119&gt;E119,K119&lt;F119),"FAIL","PASS")</f>
        <v/>
      </c>
      <c r="I119" s="7">
        <f>G119-D119</f>
        <v/>
      </c>
      <c r="J119" s="8">
        <f>IF(G119&gt;300,G119-360,0)</f>
        <v/>
      </c>
      <c r="K119" s="8">
        <f>IF(J119=0,G119,J119)</f>
        <v/>
      </c>
    </row>
    <row r="120" ht="15" customHeight="1">
      <c r="A120" s="12" t="n">
        <v>110</v>
      </c>
      <c r="B120" s="12" t="n">
        <v>252</v>
      </c>
      <c r="C120" s="12" t="n">
        <v>239</v>
      </c>
      <c r="D120" s="5" t="n">
        <v>66.64</v>
      </c>
      <c r="E120" s="9">
        <f>D120+1.5</f>
        <v/>
      </c>
      <c r="F120" s="9">
        <f>D120-1.5</f>
        <v/>
      </c>
      <c r="G120" s="25" t="n">
        <v>66.64</v>
      </c>
      <c r="H120" s="6">
        <f>IF(OR(K120&gt;E120,K120&lt;F120),"FAIL","PASS")</f>
        <v/>
      </c>
      <c r="I120" s="7">
        <f>G120-D120</f>
        <v/>
      </c>
      <c r="J120" s="8">
        <f>IF(G120&gt;300,G120-360,0)</f>
        <v/>
      </c>
      <c r="K120" s="8">
        <f>IF(J120=0,G120,J120)</f>
        <v/>
      </c>
    </row>
    <row r="121" ht="15" customHeight="1">
      <c r="A121" s="12" t="n">
        <v>111</v>
      </c>
      <c r="B121" s="12" t="n">
        <v>255</v>
      </c>
      <c r="C121" s="12" t="n">
        <v>51</v>
      </c>
      <c r="D121" s="5" t="n">
        <v>64.09999999999999</v>
      </c>
      <c r="E121" s="9">
        <f>D121+1.5</f>
        <v/>
      </c>
      <c r="F121" s="9">
        <f>D121-1.5</f>
        <v/>
      </c>
      <c r="G121" s="25" t="n">
        <v>64.09999999999999</v>
      </c>
      <c r="H121" s="6">
        <f>IF(OR(K121&gt;E121,K121&lt;F121),"FAIL","PASS")</f>
        <v/>
      </c>
      <c r="I121" s="7">
        <f>G121-D121</f>
        <v/>
      </c>
      <c r="J121" s="8">
        <f>IF(G121&gt;300,G121-360,0)</f>
        <v/>
      </c>
      <c r="K121" s="8">
        <f>IF(J121=0,G121,J121)</f>
        <v/>
      </c>
    </row>
    <row r="122" ht="15" customHeight="1">
      <c r="A122" s="12" t="n">
        <v>112</v>
      </c>
      <c r="B122" s="12" t="n">
        <v>257</v>
      </c>
      <c r="C122" s="12" t="n">
        <v>223</v>
      </c>
      <c r="D122" s="5" t="n">
        <v>61.54</v>
      </c>
      <c r="E122" s="9">
        <f>D122+1.5</f>
        <v/>
      </c>
      <c r="F122" s="9">
        <f>D122-1.5</f>
        <v/>
      </c>
      <c r="G122" s="25" t="n">
        <v>61.54</v>
      </c>
      <c r="H122" s="6">
        <f>IF(OR(K122&gt;E122,K122&lt;F122),"FAIL","PASS")</f>
        <v/>
      </c>
      <c r="I122" s="7">
        <f>G122-D122</f>
        <v/>
      </c>
      <c r="J122" s="8">
        <f>IF(G122&gt;300,G122-360,0)</f>
        <v/>
      </c>
      <c r="K122" s="8">
        <f>IF(J122=0,G122,J122)</f>
        <v/>
      </c>
    </row>
    <row r="123" ht="15" customHeight="1">
      <c r="A123" s="12" t="n">
        <v>113</v>
      </c>
      <c r="B123" s="12" t="n">
        <v>260</v>
      </c>
      <c r="C123" s="12" t="n">
        <v>34</v>
      </c>
      <c r="D123" s="5" t="n">
        <v>58.76</v>
      </c>
      <c r="E123" s="9">
        <f>D123+1.5</f>
        <v/>
      </c>
      <c r="F123" s="9">
        <f>D123-1.5</f>
        <v/>
      </c>
      <c r="G123" s="25" t="n">
        <v>58.76</v>
      </c>
      <c r="H123" s="6">
        <f>IF(OR(K123&gt;E123,K123&lt;F123),"FAIL","PASS")</f>
        <v/>
      </c>
      <c r="I123" s="7">
        <f>G123-D123</f>
        <v/>
      </c>
      <c r="J123" s="8">
        <f>IF(G123&gt;300,G123-360,0)</f>
        <v/>
      </c>
      <c r="K123" s="8">
        <f>IF(J123=0,G123,J123)</f>
        <v/>
      </c>
    </row>
    <row r="124" ht="15" customHeight="1">
      <c r="A124" s="12" t="n">
        <v>114</v>
      </c>
      <c r="B124" s="12" t="n">
        <v>262</v>
      </c>
      <c r="C124" s="12" t="n">
        <v>206</v>
      </c>
      <c r="D124" s="5" t="n">
        <v>55.54</v>
      </c>
      <c r="E124" s="9">
        <f>D124+1.5</f>
        <v/>
      </c>
      <c r="F124" s="9">
        <f>D124-1.5</f>
        <v/>
      </c>
      <c r="G124" s="25" t="n">
        <v>55.54</v>
      </c>
      <c r="H124" s="6">
        <f>IF(OR(K124&gt;E124,K124&lt;F124),"FAIL","PASS")</f>
        <v/>
      </c>
      <c r="I124" s="7">
        <f>G124-D124</f>
        <v/>
      </c>
      <c r="J124" s="8">
        <f>IF(G124&gt;300,G124-360,0)</f>
        <v/>
      </c>
      <c r="K124" s="8">
        <f>IF(J124=0,G124,J124)</f>
        <v/>
      </c>
    </row>
    <row r="125" ht="15" customHeight="1">
      <c r="A125" s="12" t="n">
        <v>115</v>
      </c>
      <c r="B125" s="12" t="n">
        <v>265</v>
      </c>
      <c r="C125" s="12" t="n">
        <v>18</v>
      </c>
      <c r="D125" s="5" t="n">
        <v>52.21</v>
      </c>
      <c r="E125" s="9">
        <f>D125+1.5</f>
        <v/>
      </c>
      <c r="F125" s="9">
        <f>D125-1.5</f>
        <v/>
      </c>
      <c r="G125" s="25" t="n">
        <v>52.21</v>
      </c>
      <c r="H125" s="6">
        <f>IF(OR(K125&gt;E125,K125&lt;F125),"FAIL","PASS")</f>
        <v/>
      </c>
      <c r="I125" s="7">
        <f>G125-D125</f>
        <v/>
      </c>
      <c r="J125" s="8">
        <f>IF(G125&gt;300,G125-360,0)</f>
        <v/>
      </c>
      <c r="K125" s="8">
        <f>IF(J125=0,G125,J125)</f>
        <v/>
      </c>
    </row>
    <row r="126" ht="15" customHeight="1">
      <c r="A126" s="12" t="n">
        <v>116</v>
      </c>
      <c r="B126" s="12" t="n">
        <v>267</v>
      </c>
      <c r="C126" s="12" t="n">
        <v>190</v>
      </c>
      <c r="D126" s="5" t="n">
        <v>48.71</v>
      </c>
      <c r="E126" s="9">
        <f>D126+1.5</f>
        <v/>
      </c>
      <c r="F126" s="9">
        <f>D126-1.5</f>
        <v/>
      </c>
      <c r="G126" s="25" t="n">
        <v>48.71</v>
      </c>
      <c r="H126" s="6">
        <f>IF(OR(K126&gt;E126,K126&lt;F126),"FAIL","PASS")</f>
        <v/>
      </c>
      <c r="I126" s="7">
        <f>G126-D126</f>
        <v/>
      </c>
      <c r="J126" s="8">
        <f>IF(G126&gt;300,G126-360,0)</f>
        <v/>
      </c>
      <c r="K126" s="8">
        <f>IF(J126=0,G126,J126)</f>
        <v/>
      </c>
    </row>
    <row r="127" ht="15" customHeight="1">
      <c r="A127" s="15" t="n">
        <v>117</v>
      </c>
      <c r="B127" s="12" t="n">
        <v>270</v>
      </c>
      <c r="C127" s="12" t="n">
        <v>1</v>
      </c>
      <c r="D127" s="5" t="n">
        <v>45.53</v>
      </c>
      <c r="E127" s="9">
        <f>D127+1.5</f>
        <v/>
      </c>
      <c r="F127" s="9">
        <f>D127-1.5</f>
        <v/>
      </c>
      <c r="G127" s="25" t="n">
        <v>45.53</v>
      </c>
      <c r="H127" s="6">
        <f>IF(OR(K127&gt;E127,K127&lt;F127),"FAIL","PASS")</f>
        <v/>
      </c>
      <c r="I127" s="7">
        <f>G127-D127</f>
        <v/>
      </c>
      <c r="J127" s="8">
        <f>IF(G127&gt;300,G127-360,0)</f>
        <v/>
      </c>
      <c r="K127" s="8">
        <f>IF(J127=0,G127,J127)</f>
        <v/>
      </c>
    </row>
    <row r="128" ht="15" customHeight="1">
      <c r="A128" s="12" t="n">
        <v>118</v>
      </c>
      <c r="B128" s="12" t="n">
        <v>272</v>
      </c>
      <c r="C128" s="12" t="n">
        <v>173</v>
      </c>
      <c r="D128" s="5" t="n">
        <v>42.8</v>
      </c>
      <c r="E128" s="9">
        <f>D128+1.5</f>
        <v/>
      </c>
      <c r="F128" s="9">
        <f>D128-1.5</f>
        <v/>
      </c>
      <c r="G128" s="25" t="n">
        <v>42.8</v>
      </c>
      <c r="H128" s="6">
        <f>IF(OR(K128&gt;E128,K128&lt;F128),"FAIL","PASS")</f>
        <v/>
      </c>
      <c r="I128" s="7">
        <f>G128-D128</f>
        <v/>
      </c>
      <c r="J128" s="8">
        <f>IF(G128&gt;300,G128-360,0)</f>
        <v/>
      </c>
      <c r="K128" s="8">
        <f>IF(J128=0,G128,J128)</f>
        <v/>
      </c>
    </row>
    <row r="129" ht="15" customHeight="1">
      <c r="A129" s="12" t="n">
        <v>119</v>
      </c>
      <c r="B129" s="12" t="n">
        <v>274</v>
      </c>
      <c r="C129" s="12" t="n">
        <v>345</v>
      </c>
      <c r="D129" s="5" t="n">
        <v>40.14</v>
      </c>
      <c r="E129" s="9">
        <f>D129+1.5</f>
        <v/>
      </c>
      <c r="F129" s="9">
        <f>D129-1.5</f>
        <v/>
      </c>
      <c r="G129" s="25" t="n">
        <v>40.14</v>
      </c>
      <c r="H129" s="6">
        <f>IF(OR(K129&gt;E129,K129&lt;F129),"FAIL","PASS")</f>
        <v/>
      </c>
      <c r="I129" s="7">
        <f>G129-D129</f>
        <v/>
      </c>
      <c r="J129" s="8">
        <f>IF(G129&gt;300,G129-360,0)</f>
        <v/>
      </c>
      <c r="K129" s="8">
        <f>IF(J129=0,G129,J129)</f>
        <v/>
      </c>
    </row>
    <row r="130" ht="15" customHeight="1">
      <c r="A130" s="12" t="n">
        <v>120</v>
      </c>
      <c r="B130" s="12" t="n">
        <v>277</v>
      </c>
      <c r="C130" s="12" t="n">
        <v>157</v>
      </c>
      <c r="D130" s="5" t="n">
        <v>37.78</v>
      </c>
      <c r="E130" s="9">
        <f>D130+1.5</f>
        <v/>
      </c>
      <c r="F130" s="9">
        <f>D130-1.5</f>
        <v/>
      </c>
      <c r="G130" s="25" t="n">
        <v>37.78</v>
      </c>
      <c r="H130" s="6">
        <f>IF(OR(K130&gt;E130,K130&lt;F130),"FAIL","PASS")</f>
        <v/>
      </c>
      <c r="I130" s="7">
        <f>G130-D130</f>
        <v/>
      </c>
      <c r="J130" s="8">
        <f>IF(G130&gt;300,G130-360,0)</f>
        <v/>
      </c>
      <c r="K130" s="8">
        <f>IF(J130=0,G130,J130)</f>
        <v/>
      </c>
    </row>
    <row r="131" ht="15" customHeight="1">
      <c r="A131" s="12" t="n">
        <v>121</v>
      </c>
      <c r="B131" s="12" t="n">
        <v>276</v>
      </c>
      <c r="C131" s="12" t="n">
        <v>238</v>
      </c>
      <c r="D131" s="5" t="n">
        <v>37</v>
      </c>
      <c r="E131" s="9">
        <f>D131+1.5</f>
        <v/>
      </c>
      <c r="F131" s="9">
        <f>D131-1.5</f>
        <v/>
      </c>
      <c r="G131" s="25" t="n">
        <v>37</v>
      </c>
      <c r="H131" s="6">
        <f>IF(OR(K131&gt;E131,K131&lt;F131),"FAIL","PASS")</f>
        <v/>
      </c>
      <c r="I131" s="7">
        <f>G131-D131</f>
        <v/>
      </c>
      <c r="J131" s="8">
        <f>IF(G131&gt;300,G131-360,0)</f>
        <v/>
      </c>
      <c r="K131" s="8">
        <f>IF(J131=0,G131,J131)</f>
        <v/>
      </c>
    </row>
    <row r="132" ht="15" customHeight="1">
      <c r="A132" s="12" t="n">
        <v>122</v>
      </c>
      <c r="B132" s="12" t="n">
        <v>279</v>
      </c>
      <c r="C132" s="12" t="n">
        <v>328</v>
      </c>
      <c r="D132" s="5" t="n">
        <v>36.37</v>
      </c>
      <c r="E132" s="9">
        <f>D132+1.5</f>
        <v/>
      </c>
      <c r="F132" s="9">
        <f>D132-1.5</f>
        <v/>
      </c>
      <c r="G132" s="25" t="n">
        <v>36.37</v>
      </c>
      <c r="H132" s="6">
        <f>IF(OR(K132&gt;E132,K132&lt;F132),"FAIL","PASS")</f>
        <v/>
      </c>
      <c r="I132" s="7">
        <f>G132-D132</f>
        <v/>
      </c>
      <c r="J132" s="8">
        <f>IF(G132&gt;300,G132-360,0)</f>
        <v/>
      </c>
      <c r="K132" s="8">
        <f>IF(J132=0,G132,J132)</f>
        <v/>
      </c>
    </row>
    <row r="133" ht="15" customHeight="1">
      <c r="A133" s="12" t="n">
        <v>123</v>
      </c>
      <c r="B133" s="12" t="n">
        <v>282</v>
      </c>
      <c r="C133" s="12" t="n">
        <v>140</v>
      </c>
      <c r="D133" s="5" t="n">
        <v>35.79</v>
      </c>
      <c r="E133" s="9">
        <f>D133+1.5</f>
        <v/>
      </c>
      <c r="F133" s="9">
        <f>D133-1.5</f>
        <v/>
      </c>
      <c r="G133" s="25" t="n">
        <v>35.79</v>
      </c>
      <c r="H133" s="6">
        <f>IF(OR(K133&gt;E133,K133&lt;F133),"FAIL","PASS")</f>
        <v/>
      </c>
      <c r="I133" s="7">
        <f>G133-D133</f>
        <v/>
      </c>
      <c r="J133" s="8">
        <f>IF(G133&gt;300,G133-360,0)</f>
        <v/>
      </c>
      <c r="K133" s="8">
        <f>IF(J133=0,G133,J133)</f>
        <v/>
      </c>
    </row>
    <row r="134" ht="15" customHeight="1">
      <c r="A134" s="12" t="n">
        <v>124</v>
      </c>
      <c r="B134" s="12" t="n">
        <v>284</v>
      </c>
      <c r="C134" s="12" t="n">
        <v>312</v>
      </c>
      <c r="D134" s="5" t="n">
        <v>35.24</v>
      </c>
      <c r="E134" s="9">
        <f>D134+1.5</f>
        <v/>
      </c>
      <c r="F134" s="9">
        <f>D134-1.5</f>
        <v/>
      </c>
      <c r="G134" s="25" t="n">
        <v>35.24</v>
      </c>
      <c r="H134" s="6">
        <f>IF(OR(K134&gt;E134,K134&lt;F134),"FAIL","PASS")</f>
        <v/>
      </c>
      <c r="I134" s="7">
        <f>G134-D134</f>
        <v/>
      </c>
      <c r="J134" s="8">
        <f>IF(G134&gt;300,G134-360,0)</f>
        <v/>
      </c>
      <c r="K134" s="8">
        <f>IF(J134=0,G134,J134)</f>
        <v/>
      </c>
    </row>
    <row r="135" ht="15" customHeight="1">
      <c r="A135" s="12" t="n">
        <v>125</v>
      </c>
      <c r="B135" s="12" t="n">
        <v>287</v>
      </c>
      <c r="C135" s="12" t="n">
        <v>124</v>
      </c>
      <c r="D135" s="5" t="n">
        <v>34.6</v>
      </c>
      <c r="E135" s="9">
        <f>D135+1.5</f>
        <v/>
      </c>
      <c r="F135" s="9">
        <f>D135-1.5</f>
        <v/>
      </c>
      <c r="G135" s="25" t="n">
        <v>34.6</v>
      </c>
      <c r="H135" s="6">
        <f>IF(OR(K135&gt;E135,K135&lt;F135),"FAIL","PASS")</f>
        <v/>
      </c>
      <c r="I135" s="7">
        <f>G135-D135</f>
        <v/>
      </c>
      <c r="J135" s="8">
        <f>IF(G135&gt;300,G135-360,0)</f>
        <v/>
      </c>
      <c r="K135" s="8">
        <f>IF(J135=0,G135,J135)</f>
        <v/>
      </c>
    </row>
    <row r="136" ht="15" customHeight="1">
      <c r="A136" s="12" t="n">
        <v>126</v>
      </c>
      <c r="B136" s="12" t="n">
        <v>289</v>
      </c>
      <c r="C136" s="12" t="n">
        <v>295</v>
      </c>
      <c r="D136" s="5" t="n">
        <v>33.8</v>
      </c>
      <c r="E136" s="9">
        <f>D136+1.5</f>
        <v/>
      </c>
      <c r="F136" s="9">
        <f>D136-1.5</f>
        <v/>
      </c>
      <c r="G136" s="25" t="n">
        <v>33.8</v>
      </c>
      <c r="H136" s="6">
        <f>IF(OR(K136&gt;E136,K136&lt;F136),"FAIL","PASS")</f>
        <v/>
      </c>
      <c r="I136" s="7">
        <f>G136-D136</f>
        <v/>
      </c>
      <c r="J136" s="8">
        <f>IF(G136&gt;300,G136-360,0)</f>
        <v/>
      </c>
      <c r="K136" s="8">
        <f>IF(J136=0,G136,J136)</f>
        <v/>
      </c>
    </row>
    <row r="137" ht="15" customHeight="1">
      <c r="A137" s="12" t="n">
        <v>127</v>
      </c>
      <c r="B137" s="12" t="n">
        <v>292</v>
      </c>
      <c r="C137" s="12" t="n">
        <v>107</v>
      </c>
      <c r="D137" s="5" t="n">
        <v>33.09</v>
      </c>
      <c r="E137" s="9">
        <f>D137+1.5</f>
        <v/>
      </c>
      <c r="F137" s="9">
        <f>D137-1.5</f>
        <v/>
      </c>
      <c r="G137" s="25" t="n">
        <v>33.09</v>
      </c>
      <c r="H137" s="6">
        <f>IF(OR(K137&gt;E137,K137&lt;F137),"FAIL","PASS")</f>
        <v/>
      </c>
      <c r="I137" s="7">
        <f>G137-D137</f>
        <v/>
      </c>
      <c r="J137" s="8">
        <f>IF(G137&gt;300,G137-360,0)</f>
        <v/>
      </c>
      <c r="K137" s="8">
        <f>IF(J137=0,G137,J137)</f>
        <v/>
      </c>
    </row>
    <row r="138" ht="15" customHeight="1">
      <c r="A138" s="12" t="n">
        <v>128</v>
      </c>
      <c r="B138" s="12" t="n">
        <v>294</v>
      </c>
      <c r="C138" s="12" t="n">
        <v>279</v>
      </c>
      <c r="D138" s="5" t="n">
        <v>32.46</v>
      </c>
      <c r="E138" s="9">
        <f>D138+1.5</f>
        <v/>
      </c>
      <c r="F138" s="9">
        <f>D138-1.5</f>
        <v/>
      </c>
      <c r="G138" s="25" t="n">
        <v>32.46</v>
      </c>
      <c r="H138" s="6">
        <f>IF(OR(K138&gt;E138,K138&lt;F138),"FAIL","PASS")</f>
        <v/>
      </c>
      <c r="I138" s="7">
        <f>G138-D138</f>
        <v/>
      </c>
      <c r="J138" s="8">
        <f>IF(G138&gt;300,G138-360,0)</f>
        <v/>
      </c>
      <c r="K138" s="8">
        <f>IF(J138=0,G138,J138)</f>
        <v/>
      </c>
    </row>
    <row r="139" ht="15" customHeight="1">
      <c r="A139" s="12" t="n">
        <v>129</v>
      </c>
      <c r="B139" s="12" t="n">
        <v>297</v>
      </c>
      <c r="C139" s="12" t="n">
        <v>91</v>
      </c>
      <c r="D139" s="5" t="n">
        <v>31.79</v>
      </c>
      <c r="E139" s="9">
        <f>D139+1.5</f>
        <v/>
      </c>
      <c r="F139" s="9">
        <f>D139-1.5</f>
        <v/>
      </c>
      <c r="G139" s="25" t="n">
        <v>31.79</v>
      </c>
      <c r="H139" s="6">
        <f>IF(OR(K139&gt;E139,K139&lt;F139),"FAIL","PASS")</f>
        <v/>
      </c>
      <c r="I139" s="7">
        <f>G139-D139</f>
        <v/>
      </c>
      <c r="J139" s="8">
        <f>IF(G139&gt;300,G139-360,0)</f>
        <v/>
      </c>
      <c r="K139" s="8">
        <f>IF(J139=0,G139,J139)</f>
        <v/>
      </c>
    </row>
    <row r="140" ht="15" customHeight="1">
      <c r="A140" s="11" t="n">
        <v>130</v>
      </c>
      <c r="B140" s="12" t="n">
        <v>299</v>
      </c>
      <c r="C140" s="12" t="n">
        <v>263</v>
      </c>
      <c r="D140" s="5" t="n">
        <v>31.1</v>
      </c>
      <c r="E140" s="9">
        <f>D140+1.5</f>
        <v/>
      </c>
      <c r="F140" s="9">
        <f>D140-1.5</f>
        <v/>
      </c>
      <c r="G140" s="25" t="n">
        <v>31.1</v>
      </c>
      <c r="H140" s="6">
        <f>IF(OR(K140&gt;E140,K140&lt;F140),"FAIL","PASS")</f>
        <v/>
      </c>
      <c r="I140" s="7">
        <f>G140-D140</f>
        <v/>
      </c>
      <c r="J140" s="8">
        <f>IF(G140&gt;300,G140-360,0)</f>
        <v/>
      </c>
      <c r="K140" s="8">
        <f>IF(J140=0,G140,J140)</f>
        <v/>
      </c>
    </row>
    <row r="141" ht="12.75" customHeight="1">
      <c r="A141" s="15" t="n">
        <v>131</v>
      </c>
      <c r="B141" s="11" t="inlineStr">
        <is>
          <t xml:space="preserve">302
</t>
        </is>
      </c>
      <c r="C141" s="11" t="n">
        <v>74</v>
      </c>
      <c r="D141" s="5" t="n">
        <v>30.44</v>
      </c>
      <c r="E141" s="9">
        <f>D141+1.5</f>
        <v/>
      </c>
      <c r="F141" s="9">
        <f>D141-1.5</f>
        <v/>
      </c>
      <c r="G141" s="26" t="n">
        <v>30.44</v>
      </c>
      <c r="H141" s="6">
        <f>IF(OR(K141&gt;E141,K141&lt;F141),"FAIL","PASS")</f>
        <v/>
      </c>
      <c r="I141" s="7">
        <f>G141-D141</f>
        <v/>
      </c>
      <c r="J141" s="8">
        <f>IF(G141&gt;300,G141-360,0)</f>
        <v/>
      </c>
      <c r="K141" s="8">
        <f>IF(J141=0,G141,J141)</f>
        <v/>
      </c>
    </row>
    <row r="142" ht="15" customHeight="1">
      <c r="A142" s="12" t="n">
        <v>132</v>
      </c>
      <c r="B142" s="12" t="n">
        <v>304</v>
      </c>
      <c r="C142" s="12" t="n">
        <v>246</v>
      </c>
      <c r="D142" s="5" t="n">
        <v>29.78</v>
      </c>
      <c r="E142" s="9">
        <f>D142+1.5</f>
        <v/>
      </c>
      <c r="F142" s="9">
        <f>D142-1.5</f>
        <v/>
      </c>
      <c r="G142" s="25" t="n">
        <v>29.78</v>
      </c>
      <c r="H142" s="6">
        <f>IF(OR(K142&gt;E142,K142&lt;F142),"FAIL","PASS")</f>
        <v/>
      </c>
      <c r="I142" s="7">
        <f>G142-D142</f>
        <v/>
      </c>
      <c r="J142" s="8">
        <f>IF(G142&gt;300,G142-360,0)</f>
        <v/>
      </c>
      <c r="K142" s="8">
        <f>IF(J142=0,G142,J142)</f>
        <v/>
      </c>
    </row>
    <row r="143" ht="15" customHeight="1">
      <c r="A143" s="12" t="n">
        <v>133</v>
      </c>
      <c r="B143" s="12" t="n">
        <v>307</v>
      </c>
      <c r="C143" s="12" t="n">
        <v>58</v>
      </c>
      <c r="D143" s="5" t="n">
        <v>29.15</v>
      </c>
      <c r="E143" s="9">
        <f>D143+1.5</f>
        <v/>
      </c>
      <c r="F143" s="9">
        <f>D143-1.5</f>
        <v/>
      </c>
      <c r="G143" s="25" t="n">
        <v>29.15</v>
      </c>
      <c r="H143" s="6">
        <f>IF(OR(K143&gt;E143,K143&lt;F143),"FAIL","PASS")</f>
        <v/>
      </c>
      <c r="I143" s="7">
        <f>G143-D143</f>
        <v/>
      </c>
      <c r="J143" s="8">
        <f>IF(G143&gt;300,G143-360,0)</f>
        <v/>
      </c>
      <c r="K143" s="8">
        <f>IF(J143=0,G143,J143)</f>
        <v/>
      </c>
    </row>
    <row r="144" ht="15" customHeight="1">
      <c r="A144" s="12" t="n">
        <v>134</v>
      </c>
      <c r="B144" s="12" t="n">
        <v>309</v>
      </c>
      <c r="C144" s="12" t="n">
        <v>230</v>
      </c>
      <c r="D144" s="5" t="n">
        <v>28.49</v>
      </c>
      <c r="E144" s="9">
        <f>D144+1.5</f>
        <v/>
      </c>
      <c r="F144" s="9">
        <f>D144-1.5</f>
        <v/>
      </c>
      <c r="G144" s="25" t="n">
        <v>28.49</v>
      </c>
      <c r="H144" s="6">
        <f>IF(OR(K144&gt;E144,K144&lt;F144),"FAIL","PASS")</f>
        <v/>
      </c>
      <c r="I144" s="7">
        <f>G144-D144</f>
        <v/>
      </c>
      <c r="J144" s="8">
        <f>IF(G144&gt;300,G144-360,0)</f>
        <v/>
      </c>
      <c r="K144" s="8">
        <f>IF(J144=0,G144,J144)</f>
        <v/>
      </c>
    </row>
    <row r="145" ht="15" customHeight="1">
      <c r="A145" s="12" t="n">
        <v>135</v>
      </c>
      <c r="B145" s="12" t="n">
        <v>312</v>
      </c>
      <c r="C145" s="12" t="n">
        <v>41</v>
      </c>
      <c r="D145" s="5" t="n">
        <v>27.83</v>
      </c>
      <c r="E145" s="9">
        <f>D145+1.5</f>
        <v/>
      </c>
      <c r="F145" s="9">
        <f>D145-1.5</f>
        <v/>
      </c>
      <c r="G145" s="25" t="n">
        <v>27.83</v>
      </c>
      <c r="H145" s="6">
        <f>IF(OR(K145&gt;E145,K145&lt;F145),"FAIL","PASS")</f>
        <v/>
      </c>
      <c r="I145" s="7">
        <f>G145-D145</f>
        <v/>
      </c>
      <c r="J145" s="8">
        <f>IF(G145&gt;300,G145-360,0)</f>
        <v/>
      </c>
      <c r="K145" s="8">
        <f>IF(J145=0,G145,J145)</f>
        <v/>
      </c>
    </row>
    <row r="146" ht="15" customHeight="1">
      <c r="A146" s="12" t="n">
        <v>136</v>
      </c>
      <c r="B146" s="12" t="n">
        <v>314</v>
      </c>
      <c r="C146" s="15" t="n">
        <v>213</v>
      </c>
      <c r="D146" s="5" t="n">
        <v>27.18</v>
      </c>
      <c r="E146" s="9">
        <f>D146+1.5</f>
        <v/>
      </c>
      <c r="F146" s="9">
        <f>D146-1.5</f>
        <v/>
      </c>
      <c r="G146" s="25" t="n">
        <v>27.18</v>
      </c>
      <c r="H146" s="6">
        <f>IF(OR(K146&gt;E146,K146&lt;F146),"FAIL","PASS")</f>
        <v/>
      </c>
      <c r="I146" s="7">
        <f>G146-D146</f>
        <v/>
      </c>
      <c r="J146" s="8">
        <f>IF(G146&gt;300,G146-360,0)</f>
        <v/>
      </c>
      <c r="K146" s="8">
        <f>IF(J146=0,G146,J146)</f>
        <v/>
      </c>
    </row>
    <row r="147" ht="15" customHeight="1">
      <c r="A147" s="12" t="n">
        <v>137</v>
      </c>
      <c r="B147" s="12" t="n">
        <v>317</v>
      </c>
      <c r="C147" s="12" t="n">
        <v>25</v>
      </c>
      <c r="D147" s="5" t="n">
        <v>26.51</v>
      </c>
      <c r="E147" s="9">
        <f>D147+1.5</f>
        <v/>
      </c>
      <c r="F147" s="9">
        <f>D147-1.5</f>
        <v/>
      </c>
      <c r="G147" s="25" t="n">
        <v>26.51</v>
      </c>
      <c r="H147" s="6">
        <f>IF(OR(K147&gt;E147,K147&lt;F147),"FAIL","PASS")</f>
        <v/>
      </c>
      <c r="I147" s="7">
        <f>G147-D147</f>
        <v/>
      </c>
      <c r="J147" s="8">
        <f>IF(G147&gt;300,G147-360,0)</f>
        <v/>
      </c>
      <c r="K147" s="8">
        <f>IF(J147=0,G147,J147)</f>
        <v/>
      </c>
    </row>
    <row r="148" ht="15" customHeight="1">
      <c r="A148" s="12" t="n">
        <v>138</v>
      </c>
      <c r="B148" s="12" t="n">
        <v>319</v>
      </c>
      <c r="C148" s="12" t="n">
        <v>197</v>
      </c>
      <c r="D148" s="5" t="n">
        <v>25.83</v>
      </c>
      <c r="E148" s="9">
        <f>D148+1.5</f>
        <v/>
      </c>
      <c r="F148" s="9">
        <f>D148-1.5</f>
        <v/>
      </c>
      <c r="G148" s="25" t="n">
        <v>25.83</v>
      </c>
      <c r="H148" s="6">
        <f>IF(OR(K148&gt;E148,K148&lt;F148),"FAIL","PASS")</f>
        <v/>
      </c>
      <c r="I148" s="7">
        <f>G148-D148</f>
        <v/>
      </c>
      <c r="J148" s="8">
        <f>IF(G148&gt;300,G148-360,0)</f>
        <v/>
      </c>
      <c r="K148" s="8">
        <f>IF(J148=0,G148,J148)</f>
        <v/>
      </c>
    </row>
    <row r="149" ht="15" customHeight="1">
      <c r="A149" s="12" t="n">
        <v>139</v>
      </c>
      <c r="B149" s="12" t="n">
        <v>322</v>
      </c>
      <c r="C149" s="12" t="n">
        <v>8</v>
      </c>
      <c r="D149" s="5" t="n">
        <v>25.18</v>
      </c>
      <c r="E149" s="9">
        <f>D149+1.5</f>
        <v/>
      </c>
      <c r="F149" s="9">
        <f>D149-1.5</f>
        <v/>
      </c>
      <c r="G149" s="25" t="n">
        <v>25.18</v>
      </c>
      <c r="H149" s="6">
        <f>IF(OR(K149&gt;E149,K149&lt;F149),"FAIL","PASS")</f>
        <v/>
      </c>
      <c r="I149" s="7">
        <f>G149-D149</f>
        <v/>
      </c>
      <c r="J149" s="8">
        <f>IF(G149&gt;300,G149-360,0)</f>
        <v/>
      </c>
      <c r="K149" s="8">
        <f>IF(J149=0,G149,J149)</f>
        <v/>
      </c>
    </row>
    <row r="150" ht="15" customHeight="1">
      <c r="A150" s="12" t="n">
        <v>140</v>
      </c>
      <c r="B150" s="12" t="n">
        <v>324</v>
      </c>
      <c r="C150" s="12" t="n">
        <v>180</v>
      </c>
      <c r="D150" s="5" t="n">
        <v>24.55</v>
      </c>
      <c r="E150" s="9">
        <f>D150+1.5</f>
        <v/>
      </c>
      <c r="F150" s="9">
        <f>D150-1.5</f>
        <v/>
      </c>
      <c r="G150" s="25" t="n">
        <v>24.55</v>
      </c>
      <c r="H150" s="6">
        <f>IF(OR(K150&gt;E150,K150&lt;F150),"FAIL","PASS")</f>
        <v/>
      </c>
      <c r="I150" s="7">
        <f>G150-D150</f>
        <v/>
      </c>
      <c r="J150" s="8">
        <f>IF(G150&gt;300,G150-360,0)</f>
        <v/>
      </c>
      <c r="K150" s="8">
        <f>IF(J150=0,G150,J150)</f>
        <v/>
      </c>
    </row>
    <row r="151" ht="15" customHeight="1">
      <c r="A151" s="12" t="n">
        <v>141</v>
      </c>
      <c r="B151" s="12" t="n">
        <v>326</v>
      </c>
      <c r="C151" s="12" t="n">
        <v>352</v>
      </c>
      <c r="D151" s="5" t="n">
        <v>23.9</v>
      </c>
      <c r="E151" s="9">
        <f>D151+1.5</f>
        <v/>
      </c>
      <c r="F151" s="9">
        <f>D151-1.5</f>
        <v/>
      </c>
      <c r="G151" s="25" t="n">
        <v>23.9</v>
      </c>
      <c r="H151" s="6">
        <f>IF(OR(K151&gt;E151,K151&lt;F151),"FAIL","PASS")</f>
        <v/>
      </c>
      <c r="I151" s="7">
        <f>G151-D151</f>
        <v/>
      </c>
      <c r="J151" s="8">
        <f>IF(G151&gt;300,G151-360,0)</f>
        <v/>
      </c>
      <c r="K151" s="8">
        <f>IF(J151=0,G151,J151)</f>
        <v/>
      </c>
    </row>
    <row r="152" ht="15" customHeight="1">
      <c r="A152" s="12" t="n">
        <v>142</v>
      </c>
      <c r="B152" s="12" t="n">
        <v>329</v>
      </c>
      <c r="C152" s="12" t="n">
        <v>164</v>
      </c>
      <c r="D152" s="5" t="n">
        <v>23.22</v>
      </c>
      <c r="E152" s="9">
        <f>D152+1.5</f>
        <v/>
      </c>
      <c r="F152" s="9">
        <f>D152-1.5</f>
        <v/>
      </c>
      <c r="G152" s="25" t="n">
        <v>23.22</v>
      </c>
      <c r="H152" s="6">
        <f>IF(OR(K152&gt;E152,K152&lt;F152),"FAIL","PASS")</f>
        <v/>
      </c>
      <c r="I152" s="7">
        <f>G152-D152</f>
        <v/>
      </c>
      <c r="J152" s="8">
        <f>IF(G152&gt;300,G152-360,0)</f>
        <v/>
      </c>
      <c r="K152" s="8">
        <f>IF(J152=0,G152,J152)</f>
        <v/>
      </c>
    </row>
    <row r="153" ht="15" customHeight="1">
      <c r="A153" s="12" t="n">
        <v>143</v>
      </c>
      <c r="B153" s="12" t="n">
        <v>331</v>
      </c>
      <c r="C153" s="12" t="n">
        <v>335</v>
      </c>
      <c r="D153" s="5" t="n">
        <v>22.59</v>
      </c>
      <c r="E153" s="9">
        <f>D153+1.5</f>
        <v/>
      </c>
      <c r="F153" s="9">
        <f>D153-1.5</f>
        <v/>
      </c>
      <c r="G153" s="25" t="n">
        <v>22.59</v>
      </c>
      <c r="H153" s="6">
        <f>IF(OR(K153&gt;E153,K153&lt;F153),"FAIL","PASS")</f>
        <v/>
      </c>
      <c r="I153" s="7">
        <f>G153-D153</f>
        <v/>
      </c>
      <c r="J153" s="8">
        <f>IF(G153&gt;300,G153-360,0)</f>
        <v/>
      </c>
      <c r="K153" s="8">
        <f>IF(J153=0,G153,J153)</f>
        <v/>
      </c>
    </row>
    <row r="154" ht="15" customHeight="1">
      <c r="A154" s="12" t="n">
        <v>144</v>
      </c>
      <c r="B154" s="12" t="n">
        <v>334</v>
      </c>
      <c r="C154" s="12" t="n">
        <v>147</v>
      </c>
      <c r="D154" s="5" t="n">
        <v>21.94</v>
      </c>
      <c r="E154" s="9">
        <f>D154+1.5</f>
        <v/>
      </c>
      <c r="F154" s="9">
        <f>D154-1.5</f>
        <v/>
      </c>
      <c r="G154" s="25" t="n">
        <v>21.94</v>
      </c>
      <c r="H154" s="6">
        <f>IF(OR(K154&gt;E154,K154&lt;F154),"FAIL","PASS")</f>
        <v/>
      </c>
      <c r="I154" s="7">
        <f>G154-D154</f>
        <v/>
      </c>
      <c r="J154" s="8">
        <f>IF(G154&gt;300,G154-360,0)</f>
        <v/>
      </c>
      <c r="K154" s="8">
        <f>IF(J154=0,G154,J154)</f>
        <v/>
      </c>
    </row>
    <row r="155" ht="15" customHeight="1">
      <c r="A155" s="12" t="n">
        <v>145</v>
      </c>
      <c r="B155" s="12" t="n">
        <v>336</v>
      </c>
      <c r="C155" s="12" t="n">
        <v>319</v>
      </c>
      <c r="D155" s="5" t="n">
        <v>21.28</v>
      </c>
      <c r="E155" s="9">
        <f>D155+1.5</f>
        <v/>
      </c>
      <c r="F155" s="9">
        <f>D155-1.5</f>
        <v/>
      </c>
      <c r="G155" s="25" t="n">
        <v>21.28</v>
      </c>
      <c r="H155" s="6">
        <f>IF(OR(K155&gt;E155,K155&lt;F155),"FAIL","PASS")</f>
        <v/>
      </c>
      <c r="I155" s="7">
        <f>G155-D155</f>
        <v/>
      </c>
      <c r="J155" s="8">
        <f>IF(G155&gt;300,G155-360,0)</f>
        <v/>
      </c>
      <c r="K155" s="8">
        <f>IF(J155=0,G155,J155)</f>
        <v/>
      </c>
    </row>
    <row r="156" ht="15" customHeight="1">
      <c r="A156" s="12" t="n">
        <v>146</v>
      </c>
      <c r="B156" s="12" t="n">
        <v>339</v>
      </c>
      <c r="C156" s="12" t="n">
        <v>131</v>
      </c>
      <c r="D156" s="5" t="n">
        <v>20.61</v>
      </c>
      <c r="E156" s="9">
        <f>D156+1.5</f>
        <v/>
      </c>
      <c r="F156" s="9">
        <f>D156-1.5</f>
        <v/>
      </c>
      <c r="G156" s="25" t="n">
        <v>20.61</v>
      </c>
      <c r="H156" s="6">
        <f>IF(OR(K156&gt;E156,K156&lt;F156),"FAIL","PASS")</f>
        <v/>
      </c>
      <c r="I156" s="7">
        <f>G156-D156</f>
        <v/>
      </c>
      <c r="J156" s="8">
        <f>IF(G156&gt;300,G156-360,0)</f>
        <v/>
      </c>
      <c r="K156" s="8">
        <f>IF(J156=0,G156,J156)</f>
        <v/>
      </c>
    </row>
    <row r="157" ht="15" customHeight="1">
      <c r="A157" s="12" t="n">
        <v>147</v>
      </c>
      <c r="B157" s="12" t="n">
        <v>341</v>
      </c>
      <c r="C157" s="12" t="n">
        <v>302</v>
      </c>
      <c r="D157" s="5" t="n">
        <v>19.96</v>
      </c>
      <c r="E157" s="9">
        <f>D157+1.5</f>
        <v/>
      </c>
      <c r="F157" s="9">
        <f>D157-1.5</f>
        <v/>
      </c>
      <c r="G157" s="25" t="n">
        <v>19.96</v>
      </c>
      <c r="H157" s="6">
        <f>IF(OR(K157&gt;E157,K157&lt;F157),"FAIL","PASS")</f>
        <v/>
      </c>
      <c r="I157" s="7">
        <f>G157-D157</f>
        <v/>
      </c>
      <c r="J157" s="8">
        <f>IF(G157&gt;300,G157-360,0)</f>
        <v/>
      </c>
      <c r="K157" s="8">
        <f>IF(J157=0,G157,J157)</f>
        <v/>
      </c>
    </row>
    <row r="158" ht="15" customHeight="1">
      <c r="A158" s="12" t="n">
        <v>148</v>
      </c>
      <c r="B158" s="12" t="n">
        <v>344</v>
      </c>
      <c r="C158" s="12" t="n">
        <v>114</v>
      </c>
      <c r="D158" s="5" t="n">
        <v>19.32</v>
      </c>
      <c r="E158" s="9">
        <f>D158+1.5</f>
        <v/>
      </c>
      <c r="F158" s="9">
        <f>D158-1.5</f>
        <v/>
      </c>
      <c r="G158" s="25" t="n">
        <v>19.32</v>
      </c>
      <c r="H158" s="6">
        <f>IF(OR(K158&gt;E158,K158&lt;F158),"FAIL","PASS")</f>
        <v/>
      </c>
      <c r="I158" s="7">
        <f>G158-D158</f>
        <v/>
      </c>
      <c r="J158" s="8">
        <f>IF(G158&gt;300,G158-360,0)</f>
        <v/>
      </c>
      <c r="K158" s="8">
        <f>IF(J158=0,G158,J158)</f>
        <v/>
      </c>
    </row>
    <row r="159" ht="15" customHeight="1">
      <c r="A159" s="12" t="n">
        <v>149</v>
      </c>
      <c r="B159" s="12" t="n">
        <v>346</v>
      </c>
      <c r="C159" s="12" t="n">
        <v>286</v>
      </c>
      <c r="D159" s="5" t="n">
        <v>18.65</v>
      </c>
      <c r="E159" s="9">
        <f>D159+1.5</f>
        <v/>
      </c>
      <c r="F159" s="9">
        <f>D159-1.5</f>
        <v/>
      </c>
      <c r="G159" s="25" t="n">
        <v>18.65</v>
      </c>
      <c r="H159" s="6">
        <f>IF(OR(K159&gt;E159,K159&lt;F159),"FAIL","PASS")</f>
        <v/>
      </c>
      <c r="I159" s="7">
        <f>G159-D159</f>
        <v/>
      </c>
      <c r="J159" s="8">
        <f>IF(G159&gt;300,G159-360,0)</f>
        <v/>
      </c>
      <c r="K159" s="8">
        <f>IF(J159=0,G159,J159)</f>
        <v/>
      </c>
    </row>
    <row r="160" ht="15" customHeight="1">
      <c r="A160" s="12" t="n">
        <v>150</v>
      </c>
      <c r="B160" s="12" t="n">
        <v>349</v>
      </c>
      <c r="C160" s="12" t="n">
        <v>98</v>
      </c>
      <c r="D160" s="5" t="n">
        <v>18</v>
      </c>
      <c r="E160" s="9">
        <f>D160+1.5</f>
        <v/>
      </c>
      <c r="F160" s="9">
        <f>D160-1.5</f>
        <v/>
      </c>
      <c r="G160" s="25" t="n">
        <v>18</v>
      </c>
      <c r="H160" s="6">
        <f>IF(OR(K160&gt;E160,K160&lt;F160),"FAIL","PASS")</f>
        <v/>
      </c>
      <c r="I160" s="7">
        <f>G160-D160</f>
        <v/>
      </c>
      <c r="J160" s="8">
        <f>IF(G160&gt;300,G160-360,0)</f>
        <v/>
      </c>
      <c r="K160" s="8">
        <f>IF(J160=0,G160,J160)</f>
        <v/>
      </c>
    </row>
    <row r="161" ht="15" customHeight="1">
      <c r="A161" s="12" t="n">
        <v>151</v>
      </c>
      <c r="B161" s="12" t="n">
        <v>351</v>
      </c>
      <c r="C161" s="12" t="n">
        <v>269</v>
      </c>
      <c r="D161" s="5" t="n">
        <v>17.36</v>
      </c>
      <c r="E161" s="9">
        <f>D161+1.5</f>
        <v/>
      </c>
      <c r="F161" s="9">
        <f>D161-1.5</f>
        <v/>
      </c>
      <c r="G161" s="25" t="n">
        <v>17.36</v>
      </c>
      <c r="H161" s="6">
        <f>IF(OR(K161&gt;E161,K161&lt;F161),"FAIL","PASS")</f>
        <v/>
      </c>
      <c r="I161" s="7">
        <f>G161-D161</f>
        <v/>
      </c>
      <c r="J161" s="8">
        <f>IF(G161&gt;300,G161-360,0)</f>
        <v/>
      </c>
      <c r="K161" s="8">
        <f>IF(J161=0,G161,J161)</f>
        <v/>
      </c>
    </row>
    <row r="162" ht="15" customHeight="1">
      <c r="A162" s="12" t="n">
        <v>152</v>
      </c>
      <c r="B162" s="12" t="n">
        <v>354</v>
      </c>
      <c r="C162" s="12" t="n">
        <v>81</v>
      </c>
      <c r="D162" s="5" t="n">
        <v>16.68</v>
      </c>
      <c r="E162" s="9">
        <f>D162+1.5</f>
        <v/>
      </c>
      <c r="F162" s="9">
        <f>D162-1.5</f>
        <v/>
      </c>
      <c r="G162" s="25" t="n">
        <v>16.68</v>
      </c>
      <c r="H162" s="6">
        <f>IF(OR(K162&gt;E162,K162&lt;F162),"FAIL","PASS")</f>
        <v/>
      </c>
      <c r="I162" s="7">
        <f>G162-D162</f>
        <v/>
      </c>
      <c r="J162" s="8">
        <f>IF(G162&gt;300,G162-360,0)</f>
        <v/>
      </c>
      <c r="K162" s="8">
        <f>IF(J162=0,G162,J162)</f>
        <v/>
      </c>
    </row>
    <row r="163" ht="15" customHeight="1">
      <c r="A163" s="12" t="n">
        <v>153</v>
      </c>
      <c r="B163" s="12" t="n">
        <v>356</v>
      </c>
      <c r="C163" s="12" t="n">
        <v>253</v>
      </c>
      <c r="D163" s="5" t="n">
        <v>15.98</v>
      </c>
      <c r="E163" s="9">
        <f>D163+1.5</f>
        <v/>
      </c>
      <c r="F163" s="9">
        <f>D163-1.5</f>
        <v/>
      </c>
      <c r="G163" s="25" t="n">
        <v>15.98</v>
      </c>
      <c r="H163" s="6">
        <f>IF(OR(K163&gt;E163,K163&lt;F163),"FAIL","PASS")</f>
        <v/>
      </c>
      <c r="I163" s="7">
        <f>G163-D163</f>
        <v/>
      </c>
      <c r="J163" s="8">
        <f>IF(G163&gt;300,G163-360,0)</f>
        <v/>
      </c>
      <c r="K163" s="8">
        <f>IF(J163=0,G163,J163)</f>
        <v/>
      </c>
    </row>
    <row r="164" ht="15" customHeight="1">
      <c r="A164" s="12" t="n">
        <v>154</v>
      </c>
      <c r="B164" s="12" t="n">
        <v>359</v>
      </c>
      <c r="C164" s="12" t="n">
        <v>65</v>
      </c>
      <c r="D164" s="16" t="n">
        <v>15.31</v>
      </c>
      <c r="E164" s="9">
        <f>D164+1.5</f>
        <v/>
      </c>
      <c r="F164" s="9">
        <f>D164-1.5</f>
        <v/>
      </c>
      <c r="G164" s="25" t="n">
        <v>15.31</v>
      </c>
      <c r="H164" s="6">
        <f>IF(OR(K164&gt;E164,K164&lt;F164),"FAIL","PASS")</f>
        <v/>
      </c>
      <c r="I164" s="7">
        <f>G164-D164</f>
        <v/>
      </c>
      <c r="J164" s="8">
        <f>IF(G164&gt;300,G164-360,0)</f>
        <v/>
      </c>
      <c r="K164" s="8">
        <f>IF(J164=0,G164,J164)</f>
        <v/>
      </c>
    </row>
    <row r="165" ht="15" customHeight="1">
      <c r="A165" s="12" t="n">
        <v>155</v>
      </c>
      <c r="B165" s="12" t="n">
        <v>361</v>
      </c>
      <c r="C165" s="12" t="n">
        <v>236</v>
      </c>
      <c r="D165" s="5" t="n">
        <v>14.64</v>
      </c>
      <c r="E165" s="9">
        <f>D165+1.5</f>
        <v/>
      </c>
      <c r="F165" s="9">
        <f>D165-1.5</f>
        <v/>
      </c>
      <c r="G165" s="25" t="n">
        <v>14.64</v>
      </c>
      <c r="H165" s="6">
        <f>IF(OR(K165&gt;E165,K165&lt;F165),"FAIL","PASS")</f>
        <v/>
      </c>
      <c r="I165" s="7">
        <f>G165-D165</f>
        <v/>
      </c>
      <c r="J165" s="8">
        <f>IF(G165&gt;300,G165-360,0)</f>
        <v/>
      </c>
      <c r="K165" s="8">
        <f>IF(J165=0,G165,J165)</f>
        <v/>
      </c>
    </row>
    <row r="166" ht="15" customHeight="1">
      <c r="A166" s="12" t="n">
        <v>156</v>
      </c>
      <c r="B166" s="12" t="n">
        <v>364</v>
      </c>
      <c r="C166" s="12" t="n">
        <v>48</v>
      </c>
      <c r="D166" s="5" t="n">
        <v>13.97</v>
      </c>
      <c r="E166" s="9">
        <f>D166+1.5</f>
        <v/>
      </c>
      <c r="F166" s="9">
        <f>D166-1.5</f>
        <v/>
      </c>
      <c r="G166" s="25" t="n">
        <v>13.97</v>
      </c>
      <c r="H166" s="6">
        <f>IF(OR(K166&gt;E166,K166&lt;F166),"FAIL","PASS")</f>
        <v/>
      </c>
      <c r="I166" s="7">
        <f>G166-D166</f>
        <v/>
      </c>
      <c r="J166" s="8">
        <f>IF(G166&gt;300,G166-360,0)</f>
        <v/>
      </c>
      <c r="K166" s="8">
        <f>IF(J166=0,G166,J166)</f>
        <v/>
      </c>
    </row>
    <row r="167" ht="15" customHeight="1">
      <c r="A167" s="12" t="n">
        <v>157</v>
      </c>
      <c r="B167" s="12" t="n">
        <v>366</v>
      </c>
      <c r="C167" s="12" t="n">
        <v>220</v>
      </c>
      <c r="D167" s="5" t="n">
        <v>13.31</v>
      </c>
      <c r="E167" s="9">
        <f>D167+1.5</f>
        <v/>
      </c>
      <c r="F167" s="9">
        <f>D167-1.5</f>
        <v/>
      </c>
      <c r="G167" s="25" t="n">
        <v>13.31</v>
      </c>
      <c r="H167" s="6">
        <f>IF(OR(K167&gt;E167,K167&lt;F167),"FAIL","PASS")</f>
        <v/>
      </c>
      <c r="I167" s="7">
        <f>G167-D167</f>
        <v/>
      </c>
      <c r="J167" s="8">
        <f>IF(G167&gt;300,G167-360,0)</f>
        <v/>
      </c>
      <c r="K167" s="8">
        <f>IF(J167=0,G167,J167)</f>
        <v/>
      </c>
    </row>
    <row r="168" ht="15" customHeight="1">
      <c r="A168" s="12" t="n">
        <v>158</v>
      </c>
      <c r="B168" s="12" t="n">
        <v>369</v>
      </c>
      <c r="C168" s="12" t="n">
        <v>32</v>
      </c>
      <c r="D168" s="5" t="n">
        <v>12.6</v>
      </c>
      <c r="E168" s="9">
        <f>D168+1.5</f>
        <v/>
      </c>
      <c r="F168" s="9">
        <f>D168-1.5</f>
        <v/>
      </c>
      <c r="G168" s="25" t="n">
        <v>12.6</v>
      </c>
      <c r="H168" s="6">
        <f>IF(OR(K168&gt;E168,K168&lt;F168),"FAIL","PASS")</f>
        <v/>
      </c>
      <c r="I168" s="7">
        <f>G168-D168</f>
        <v/>
      </c>
      <c r="J168" s="8">
        <f>IF(G168&gt;300,G168-360,0)</f>
        <v/>
      </c>
      <c r="K168" s="8">
        <f>IF(J168=0,G168,J168)</f>
        <v/>
      </c>
    </row>
    <row r="169" ht="14.25" customHeight="1">
      <c r="A169" s="11" t="inlineStr">
        <is>
          <t xml:space="preserve">159
</t>
        </is>
      </c>
      <c r="B169" s="11" t="n">
        <v>371</v>
      </c>
      <c r="C169" s="12" t="n">
        <v>203</v>
      </c>
      <c r="D169" s="5" t="n">
        <v>11.56</v>
      </c>
      <c r="E169" s="9">
        <f>D169+1.5</f>
        <v/>
      </c>
      <c r="F169" s="9">
        <f>D169-1.5</f>
        <v/>
      </c>
      <c r="G169" s="26" t="n">
        <v>11.56</v>
      </c>
      <c r="H169" s="6">
        <f>IF(OR(K169&gt;E169,K169&lt;F169),"FAIL","PASS")</f>
        <v/>
      </c>
      <c r="I169" s="7">
        <f>G169-D169</f>
        <v/>
      </c>
      <c r="J169" s="8">
        <f>IF(G169&gt;300,G169-360,0)</f>
        <v/>
      </c>
      <c r="K169" s="8">
        <f>IF(J169=0,G169,J169)</f>
        <v/>
      </c>
    </row>
    <row r="170" ht="15" customHeight="1">
      <c r="A170" s="12" t="n">
        <v>160</v>
      </c>
      <c r="B170" s="11" t="n">
        <v>374</v>
      </c>
      <c r="C170" s="12" t="n">
        <v>15</v>
      </c>
      <c r="D170" s="5" t="n">
        <v>10.75</v>
      </c>
      <c r="E170" s="9">
        <f>D170+1.5</f>
        <v/>
      </c>
      <c r="F170" s="9">
        <f>D170-1.5</f>
        <v/>
      </c>
      <c r="G170" s="25" t="n">
        <v>10.75</v>
      </c>
      <c r="H170" s="6">
        <f>IF(OR(K170&gt;E170,K170&lt;F170),"FAIL","PASS")</f>
        <v/>
      </c>
      <c r="I170" s="7">
        <f>G170-D170</f>
        <v/>
      </c>
      <c r="J170" s="8">
        <f>IF(G170&gt;300,G170-360,0)</f>
        <v/>
      </c>
      <c r="K170" s="8">
        <f>IF(J170=0,G170,J170)</f>
        <v/>
      </c>
    </row>
    <row r="171" ht="15" customHeight="1">
      <c r="A171" s="12" t="n">
        <v>161</v>
      </c>
      <c r="B171" s="12" t="n">
        <v>376</v>
      </c>
      <c r="C171" s="12" t="n">
        <v>187</v>
      </c>
      <c r="D171" s="5" t="n">
        <v>10.07</v>
      </c>
      <c r="E171" s="9">
        <f>D171+1.5</f>
        <v/>
      </c>
      <c r="F171" s="9">
        <f>D171-1.5</f>
        <v/>
      </c>
      <c r="G171" s="25" t="n">
        <v>10.07</v>
      </c>
      <c r="H171" s="6">
        <f>IF(OR(K171&gt;E171,K171&lt;F171),"FAIL","PASS")</f>
        <v/>
      </c>
      <c r="I171" s="7">
        <f>G171-D171</f>
        <v/>
      </c>
      <c r="J171" s="8">
        <f>IF(G171&gt;300,G171-360,0)</f>
        <v/>
      </c>
      <c r="K171" s="8">
        <f>IF(J171=0,G171,J171)</f>
        <v/>
      </c>
    </row>
    <row r="172" ht="12.75" customHeight="1">
      <c r="A172" s="12" t="n">
        <v>162</v>
      </c>
      <c r="B172" s="11" t="inlineStr">
        <is>
          <t xml:space="preserve"> 378
</t>
        </is>
      </c>
      <c r="C172" s="12" t="n">
        <v>359</v>
      </c>
      <c r="D172" s="5" t="n">
        <v>9.43</v>
      </c>
      <c r="E172" s="9">
        <f>D172+1.5</f>
        <v/>
      </c>
      <c r="F172" s="9">
        <f>D172-1.5</f>
        <v/>
      </c>
      <c r="G172" s="26" t="n">
        <v>9.43</v>
      </c>
      <c r="H172" s="6">
        <f>IF(OR(K172&gt;E172,K172&lt;F172),"FAIL","PASS")</f>
        <v/>
      </c>
      <c r="I172" s="7">
        <f>G172-D172</f>
        <v/>
      </c>
      <c r="J172" s="8">
        <f>IF(G172&gt;300,G172-360,0)</f>
        <v/>
      </c>
      <c r="K172" s="8">
        <f>IF(J172=0,G172,J172)</f>
        <v/>
      </c>
    </row>
    <row r="173" ht="15" customHeight="1">
      <c r="A173" s="12" t="n">
        <v>163</v>
      </c>
      <c r="B173" s="12" t="n">
        <v>381</v>
      </c>
      <c r="C173" s="12" t="n">
        <v>170</v>
      </c>
      <c r="D173" s="5" t="n">
        <v>8.779999999999999</v>
      </c>
      <c r="E173" s="9">
        <f>D173+1.5</f>
        <v/>
      </c>
      <c r="F173" s="9">
        <f>D173-1.5</f>
        <v/>
      </c>
      <c r="G173" s="25" t="n">
        <v>8.779999999999999</v>
      </c>
      <c r="H173" s="6">
        <f>IF(OR(K173&gt;E173,K173&lt;F173),"FAIL","PASS")</f>
        <v/>
      </c>
      <c r="I173" s="7">
        <f>G173-D173</f>
        <v/>
      </c>
      <c r="J173" s="8">
        <f>IF(G173&gt;300,G173-360,0)</f>
        <v/>
      </c>
      <c r="K173" s="8">
        <f>IF(J173=0,G173,J173)</f>
        <v/>
      </c>
    </row>
    <row r="174" ht="15" customHeight="1">
      <c r="A174" s="12" t="n">
        <v>164</v>
      </c>
      <c r="B174" s="12" t="n">
        <v>383</v>
      </c>
      <c r="C174" s="12" t="n">
        <v>342</v>
      </c>
      <c r="D174" s="5" t="n">
        <v>8.17</v>
      </c>
      <c r="E174" s="9">
        <f>D174+1.5</f>
        <v/>
      </c>
      <c r="F174" s="9">
        <f>D174-1.5</f>
        <v/>
      </c>
      <c r="G174" s="25" t="n">
        <v>8.17</v>
      </c>
      <c r="H174" s="6">
        <f>IF(OR(K174&gt;E174,K174&lt;F174),"FAIL","PASS")</f>
        <v/>
      </c>
      <c r="I174" s="7">
        <f>G174-D174</f>
        <v/>
      </c>
      <c r="J174" s="8">
        <f>IF(G174&gt;300,G174-360,0)</f>
        <v/>
      </c>
      <c r="K174" s="8">
        <f>IF(J174=0,G174,J174)</f>
        <v/>
      </c>
    </row>
    <row r="175" ht="15" customHeight="1">
      <c r="A175" s="12" t="n">
        <v>165</v>
      </c>
      <c r="B175" s="12" t="n">
        <v>386</v>
      </c>
      <c r="C175" s="12" t="n">
        <v>154</v>
      </c>
      <c r="D175" s="5" t="n">
        <v>7.52</v>
      </c>
      <c r="E175" s="9">
        <f>D175+1.5</f>
        <v/>
      </c>
      <c r="F175" s="9">
        <f>D175-1.5</f>
        <v/>
      </c>
      <c r="G175" s="25" t="n">
        <v>7.52</v>
      </c>
      <c r="H175" s="6">
        <f>IF(OR(K175&gt;E175,K175&lt;F175),"FAIL","PASS")</f>
        <v/>
      </c>
      <c r="I175" s="7">
        <f>G175-D175</f>
        <v/>
      </c>
      <c r="J175" s="8">
        <f>IF(G175&gt;300,G175-360,0)</f>
        <v/>
      </c>
      <c r="K175" s="8">
        <f>IF(J175=0,G175,J175)</f>
        <v/>
      </c>
    </row>
    <row r="176" ht="15" customHeight="1">
      <c r="A176" s="12" t="n">
        <v>166</v>
      </c>
      <c r="B176" s="12" t="n">
        <v>388</v>
      </c>
      <c r="C176" s="12" t="n">
        <v>326</v>
      </c>
      <c r="D176" s="5" t="n">
        <v>6.88</v>
      </c>
      <c r="E176" s="9">
        <f>D176+1.5</f>
        <v/>
      </c>
      <c r="F176" s="9">
        <f>D176-1.5</f>
        <v/>
      </c>
      <c r="G176" s="25" t="n">
        <v>6.88</v>
      </c>
      <c r="H176" s="6">
        <f>IF(OR(K176&gt;E176,K176&lt;F176),"FAIL","PASS")</f>
        <v/>
      </c>
      <c r="I176" s="7">
        <f>G176-D176</f>
        <v/>
      </c>
      <c r="J176" s="8">
        <f>IF(G176&gt;300,G176-360,0)</f>
        <v/>
      </c>
      <c r="K176" s="8">
        <f>IF(J176=0,G176,J176)</f>
        <v/>
      </c>
    </row>
    <row r="177" ht="15" customHeight="1">
      <c r="A177" s="12" t="n">
        <v>167</v>
      </c>
      <c r="B177" s="12" t="n">
        <v>391</v>
      </c>
      <c r="C177" s="12" t="n">
        <v>137</v>
      </c>
      <c r="D177" s="5" t="n">
        <v>6.23</v>
      </c>
      <c r="E177" s="9">
        <f>D177+1.5</f>
        <v/>
      </c>
      <c r="F177" s="9">
        <f>D177-1.5</f>
        <v/>
      </c>
      <c r="G177" s="25" t="n">
        <v>6.23</v>
      </c>
      <c r="H177" s="6">
        <f>IF(OR(K177&gt;E177,K177&lt;F177),"FAIL","PASS")</f>
        <v/>
      </c>
      <c r="I177" s="7">
        <f>G177-D177</f>
        <v/>
      </c>
      <c r="J177" s="8">
        <f>IF(G177&gt;300,G177-360,0)</f>
        <v/>
      </c>
      <c r="K177" s="8">
        <f>IF(J177=0,G177,J177)</f>
        <v/>
      </c>
    </row>
    <row r="178" ht="15" customHeight="1">
      <c r="A178" s="12" t="n">
        <v>168</v>
      </c>
      <c r="B178" s="12" t="n">
        <v>393</v>
      </c>
      <c r="C178" s="12" t="n">
        <v>309</v>
      </c>
      <c r="D178" s="5" t="n">
        <v>5.52</v>
      </c>
      <c r="E178" s="9">
        <f>D178+1.5</f>
        <v/>
      </c>
      <c r="F178" s="9">
        <f>D178-1.5</f>
        <v/>
      </c>
      <c r="G178" s="25" t="n">
        <v>5.52</v>
      </c>
      <c r="H178" s="6">
        <f>IF(OR(K178&gt;E178,K178&lt;F178),"FAIL","PASS")</f>
        <v/>
      </c>
      <c r="I178" s="7">
        <f>G178-D178</f>
        <v/>
      </c>
      <c r="J178" s="8">
        <f>IF(G178&gt;300,G178-360,0)</f>
        <v/>
      </c>
      <c r="K178" s="8">
        <f>IF(J178=0,G178,J178)</f>
        <v/>
      </c>
    </row>
    <row r="179" ht="15" customHeight="1">
      <c r="A179" s="12" t="n">
        <v>169</v>
      </c>
      <c r="B179" s="12" t="n">
        <v>396</v>
      </c>
      <c r="C179" s="12" t="n">
        <v>121</v>
      </c>
      <c r="D179" s="5" t="n">
        <v>4.84</v>
      </c>
      <c r="E179" s="9">
        <f>D179+1.5</f>
        <v/>
      </c>
      <c r="F179" s="9">
        <f>D179-1.5</f>
        <v/>
      </c>
      <c r="G179" s="25" t="n">
        <v>4.84</v>
      </c>
      <c r="H179" s="6">
        <f>IF(OR(K179&gt;E179,K179&lt;F179),"FAIL","PASS")</f>
        <v/>
      </c>
      <c r="I179" s="7">
        <f>G179-D179</f>
        <v/>
      </c>
      <c r="J179" s="8">
        <f>IF(G179&gt;300,G179-360,0)</f>
        <v/>
      </c>
      <c r="K179" s="8">
        <f>IF(J179=0,G179,J179)</f>
        <v/>
      </c>
    </row>
    <row r="180" ht="15" customHeight="1">
      <c r="A180" s="12" t="n">
        <v>170</v>
      </c>
      <c r="B180" s="12" t="n">
        <v>398</v>
      </c>
      <c r="C180" s="12" t="n">
        <v>293</v>
      </c>
      <c r="D180" s="5" t="n">
        <v>4.22</v>
      </c>
      <c r="E180" s="9">
        <f>D180+1.5</f>
        <v/>
      </c>
      <c r="F180" s="9">
        <f>D180-1.5</f>
        <v/>
      </c>
      <c r="G180" s="25" t="n">
        <v>4.22</v>
      </c>
      <c r="H180" s="6">
        <f>IF(OR(K180&gt;E180,K180&lt;F180),"FAIL","PASS")</f>
        <v/>
      </c>
      <c r="I180" s="7">
        <f>IF(G180&gt;300,G180-360-D180,G180-D180)</f>
        <v/>
      </c>
      <c r="J180" s="8">
        <f>IF(G180&gt;300,G180-360,0)</f>
        <v/>
      </c>
      <c r="K180" s="8">
        <f>IF(J180=0,G180,J180)</f>
        <v/>
      </c>
    </row>
    <row r="181" ht="15" customHeight="1">
      <c r="A181" s="12" t="n">
        <v>171</v>
      </c>
      <c r="B181" s="12" t="n">
        <v>401</v>
      </c>
      <c r="C181" s="12" t="n">
        <v>105</v>
      </c>
      <c r="D181" s="5" t="n">
        <v>3.74</v>
      </c>
      <c r="E181" s="9">
        <f>D181+1.5</f>
        <v/>
      </c>
      <c r="F181" s="9">
        <f>D181-1.5</f>
        <v/>
      </c>
      <c r="G181" s="25" t="n">
        <v>3.74</v>
      </c>
      <c r="H181" s="6">
        <f>IF(OR(K181&gt;E181,K181&lt;F181),"FAIL","PASS")</f>
        <v/>
      </c>
      <c r="I181" s="7">
        <f>IF(G181&gt;300,G181-360-D181,G181-D181)</f>
        <v/>
      </c>
      <c r="J181" s="8">
        <f>IF(G181&gt;300,G181-360,0)</f>
        <v/>
      </c>
      <c r="K181" s="8">
        <f>IF(J181=0,G181,J181)</f>
        <v/>
      </c>
    </row>
    <row r="182" ht="15" customHeight="1">
      <c r="A182" s="12" t="n">
        <v>172</v>
      </c>
      <c r="B182" s="12" t="n">
        <v>403</v>
      </c>
      <c r="C182" s="12" t="n">
        <v>276</v>
      </c>
      <c r="D182" s="5" t="n">
        <v>3.17</v>
      </c>
      <c r="E182" s="9">
        <f>D182+1.5</f>
        <v/>
      </c>
      <c r="F182" s="9">
        <f>D182-1.5</f>
        <v/>
      </c>
      <c r="G182" s="25" t="n">
        <v>3.17</v>
      </c>
      <c r="H182" s="6">
        <f>IF(OR(K182&gt;E182,K182&lt;F182),"FAIL","PASS")</f>
        <v/>
      </c>
      <c r="I182" s="7">
        <f>IF(G182&gt;300,G182-360-D182,G182-D182)</f>
        <v/>
      </c>
      <c r="J182" s="8">
        <f>IF(G182&gt;300,G182-360,0)</f>
        <v/>
      </c>
      <c r="K182" s="8">
        <f>IF(J182=0,G182,J182)</f>
        <v/>
      </c>
    </row>
    <row r="183" ht="15" customHeight="1">
      <c r="A183" s="12" t="n">
        <v>173</v>
      </c>
      <c r="B183" s="12" t="n">
        <v>406</v>
      </c>
      <c r="C183" s="12" t="n">
        <v>88</v>
      </c>
      <c r="D183" s="5" t="n">
        <v>2.61</v>
      </c>
      <c r="E183" s="9">
        <f>D183+1.5</f>
        <v/>
      </c>
      <c r="F183" s="9">
        <f>D183-1.5</f>
        <v/>
      </c>
      <c r="G183" s="25" t="n">
        <v>2.61</v>
      </c>
      <c r="H183" s="6">
        <f>IF(OR(K183&gt;E183,K183&lt;F183),"FAIL","PASS")</f>
        <v/>
      </c>
      <c r="I183" s="7">
        <f>IF(G183&gt;300,G183-360-D183,G183-D183)</f>
        <v/>
      </c>
      <c r="J183" s="8">
        <f>IF(G183&gt;300,G183-360,0)</f>
        <v/>
      </c>
      <c r="K183" s="8">
        <f>IF(J183=0,G183,J183)</f>
        <v/>
      </c>
    </row>
    <row r="184" ht="15" customHeight="1">
      <c r="A184" s="12" t="n">
        <v>174</v>
      </c>
      <c r="B184" s="12" t="n">
        <v>408</v>
      </c>
      <c r="C184" s="12" t="n">
        <v>260</v>
      </c>
      <c r="D184" s="5" t="n">
        <v>2.06</v>
      </c>
      <c r="E184" s="9">
        <f>D184+1.5</f>
        <v/>
      </c>
      <c r="F184" s="9">
        <f>D184-1.5</f>
        <v/>
      </c>
      <c r="G184" s="25" t="n">
        <v>2.06</v>
      </c>
      <c r="H184" s="6">
        <f>IF(OR(K184&gt;E184,K184&lt;F184),"FAIL","PASS")</f>
        <v/>
      </c>
      <c r="I184" s="7">
        <f>IF(G184&gt;300,G184-360-D184,G184-D184)</f>
        <v/>
      </c>
      <c r="J184" s="8">
        <f>IF(G184&gt;300,G184-360,0)</f>
        <v/>
      </c>
      <c r="K184" s="8">
        <f>IF(J184=0,G184,J184)</f>
        <v/>
      </c>
    </row>
    <row r="185" ht="15" customHeight="1">
      <c r="A185" s="12" t="n">
        <v>175</v>
      </c>
      <c r="B185" s="12" t="n">
        <v>411</v>
      </c>
      <c r="C185" s="12" t="n">
        <v>72</v>
      </c>
      <c r="D185" s="5" t="n">
        <v>1.59</v>
      </c>
      <c r="E185" s="9">
        <f>D185+1.5</f>
        <v/>
      </c>
      <c r="F185" s="9">
        <f>D185-1.5</f>
        <v/>
      </c>
      <c r="G185" s="25" t="n">
        <v>1.59</v>
      </c>
      <c r="H185" s="6">
        <f>IF(OR(K185&gt;E185,K185&lt;F185),"FAIL","PASS")</f>
        <v/>
      </c>
      <c r="I185" s="7">
        <f>IF(G185&gt;300,G185-360-D185,G185-D185)</f>
        <v/>
      </c>
      <c r="J185" s="8">
        <f>IF(G185&gt;300,G185-360,0)</f>
        <v/>
      </c>
      <c r="K185" s="8">
        <f>IF(J185=0,G185,J185)</f>
        <v/>
      </c>
    </row>
    <row r="186" ht="15" customHeight="1">
      <c r="A186" s="12" t="n">
        <v>176</v>
      </c>
      <c r="B186" s="12" t="n">
        <v>413</v>
      </c>
      <c r="C186" s="12" t="n">
        <v>243</v>
      </c>
      <c r="D186" s="5" t="n">
        <v>1.34</v>
      </c>
      <c r="E186" s="9">
        <f>D186+1.5</f>
        <v/>
      </c>
      <c r="F186" s="9">
        <f>D186-1.5</f>
        <v/>
      </c>
      <c r="G186" s="25" t="n">
        <v>1.34</v>
      </c>
      <c r="H186" s="6">
        <f>IF(OR(K186&gt;E186,K186&lt;F186),"FAIL","PASS")</f>
        <v/>
      </c>
      <c r="I186" s="7">
        <f>IF(G186&gt;300,G186-360-D186,G186-D186)</f>
        <v/>
      </c>
      <c r="J186" s="8">
        <f>IF(G186&gt;300,G186-360,0)</f>
        <v/>
      </c>
      <c r="K186" s="8">
        <f>IF(J186=0,G186,J186)</f>
        <v/>
      </c>
    </row>
    <row r="187" ht="15" customHeight="1">
      <c r="A187" s="12" t="n">
        <v>177</v>
      </c>
      <c r="B187" s="12" t="n">
        <v>416</v>
      </c>
      <c r="C187" s="12" t="n">
        <v>55</v>
      </c>
      <c r="D187" s="5" t="n">
        <v>0.46</v>
      </c>
      <c r="E187" s="9">
        <f>D187+1.5</f>
        <v/>
      </c>
      <c r="F187" s="9">
        <f>D187-1.5</f>
        <v/>
      </c>
      <c r="G187" s="25" t="n">
        <v>0.46</v>
      </c>
      <c r="H187" s="6">
        <f>IF(OR(K187&gt;E187,K187&lt;F187),"FAIL","PASS")</f>
        <v/>
      </c>
      <c r="I187" s="7">
        <f>IF(G187&gt;300,G187-360-D187,G187-D187)</f>
        <v/>
      </c>
      <c r="J187" s="8">
        <f>IF(G187&gt;300,G187-360,0)</f>
        <v/>
      </c>
      <c r="K187" s="8">
        <f>IF(J187=0,G187,J187)</f>
        <v/>
      </c>
    </row>
    <row r="188" ht="15" customHeight="1">
      <c r="A188" s="12" t="n">
        <v>178</v>
      </c>
      <c r="B188" s="12" t="n">
        <v>416</v>
      </c>
      <c r="C188" s="12" t="n">
        <v>216</v>
      </c>
      <c r="D188" s="5" t="n">
        <v>0</v>
      </c>
      <c r="E188" s="9">
        <f>D188+1.5</f>
        <v/>
      </c>
      <c r="F188" s="9">
        <f>D188-1.5</f>
        <v/>
      </c>
      <c r="G188" s="25" t="n">
        <v>0</v>
      </c>
      <c r="H188" s="6">
        <f>IF(OR(K188&gt;E188,K188&lt;F188),"FAIL","PASS")</f>
        <v/>
      </c>
      <c r="I188" s="7">
        <f>IF(G188&gt;300,G188-360-D188,G188-D188)</f>
        <v/>
      </c>
      <c r="J188" s="8">
        <f>IF(G188&gt;300,G188-360,0)</f>
        <v/>
      </c>
      <c r="K188" s="8">
        <f>IF(J188=0,G188,J188)</f>
        <v/>
      </c>
    </row>
    <row r="189" ht="15" customHeight="1">
      <c r="A189" s="12" t="n">
        <v>179</v>
      </c>
      <c r="B189" s="12" t="n">
        <v>418</v>
      </c>
      <c r="C189" s="12" t="n">
        <v>227</v>
      </c>
      <c r="D189" s="5" t="n">
        <v>-0.87</v>
      </c>
      <c r="E189" s="9">
        <f>D189+1.5</f>
        <v/>
      </c>
      <c r="F189" s="9">
        <f>D189-1.5</f>
        <v/>
      </c>
      <c r="G189" s="25" t="n">
        <v>-0.87</v>
      </c>
      <c r="H189" s="6">
        <f>IF(OR(K189&gt;E189,K189&lt;F189),"FAIL","PASS")</f>
        <v/>
      </c>
      <c r="I189" s="7">
        <f>IF(G189&gt;300,G189-360-D189,G189-D189)</f>
        <v/>
      </c>
      <c r="J189" s="8">
        <f>IF(G189&gt;300,G189-360,0)</f>
        <v/>
      </c>
      <c r="K189" s="8">
        <f>IF(J189=0,G189,J189)</f>
        <v/>
      </c>
    </row>
    <row r="190" ht="15" customHeight="1">
      <c r="A190" s="12" t="n">
        <v>180</v>
      </c>
      <c r="B190" s="12" t="n">
        <v>421</v>
      </c>
      <c r="C190" s="12" t="n">
        <v>39</v>
      </c>
      <c r="D190" s="5" t="n">
        <v>-2.73</v>
      </c>
      <c r="E190" s="9">
        <f>D190+1.5</f>
        <v/>
      </c>
      <c r="F190" s="9">
        <f>D190-1.5</f>
        <v/>
      </c>
      <c r="G190" s="25" t="n">
        <v>-2.73</v>
      </c>
      <c r="H190" s="6">
        <f>IF(OR(K190&gt;E190,K190&lt;F190),"FAIL","PASS")</f>
        <v/>
      </c>
      <c r="I190" s="7">
        <f>IF(G190&gt;300,G190-360-D190,G190-D190)</f>
        <v/>
      </c>
      <c r="J190" s="8">
        <f>IF(G190&gt;300,G190-360,0)</f>
        <v/>
      </c>
      <c r="K190" s="8">
        <f>IF(J190=0,G190,J190)</f>
        <v/>
      </c>
    </row>
    <row r="191" ht="15" customHeight="1">
      <c r="A191" s="12" t="n">
        <v>181</v>
      </c>
      <c r="B191" s="12" t="n">
        <v>423</v>
      </c>
      <c r="C191" s="12" t="n">
        <v>210</v>
      </c>
      <c r="D191" s="5" t="n">
        <v>-4.96</v>
      </c>
      <c r="E191" s="9">
        <f>D191+1.5</f>
        <v/>
      </c>
      <c r="F191" s="9">
        <f>D191-1.5</f>
        <v/>
      </c>
      <c r="G191" s="25" t="n">
        <v>-4.96</v>
      </c>
      <c r="H191" s="6">
        <f>IF(OR(K191&gt;E191,K191&lt;F191),"FAIL","PASS")</f>
        <v/>
      </c>
      <c r="I191" s="7">
        <f>IF(G191&gt;300,G191-360-D191,G191-D191)</f>
        <v/>
      </c>
      <c r="J191" s="8">
        <f>IF(G191&gt;300,G191-360,0)</f>
        <v/>
      </c>
      <c r="K191" s="8">
        <f>IF(J191=0,G191,J191)</f>
        <v/>
      </c>
    </row>
    <row r="192" ht="15" customHeight="1">
      <c r="A192" s="12" t="n">
        <v>182</v>
      </c>
      <c r="B192" s="12" t="n">
        <v>425</v>
      </c>
      <c r="C192" s="12" t="n">
        <v>282</v>
      </c>
      <c r="D192" s="5" t="n">
        <v>-6</v>
      </c>
      <c r="E192" s="9">
        <f>D192+1.5</f>
        <v/>
      </c>
      <c r="F192" s="9">
        <f>D192-1.5</f>
        <v/>
      </c>
      <c r="G192" s="25" t="n">
        <v>-6</v>
      </c>
      <c r="H192" s="6">
        <f>IF(OR(K192&gt;E192,K192&lt;F192),"FAIL","PASS")</f>
        <v/>
      </c>
      <c r="I192" s="7">
        <f>IF(G192&gt;300,G192-360-D192,G192-D192)</f>
        <v/>
      </c>
      <c r="J192" s="8">
        <f>IF(G192&gt;300,G192-360,0)</f>
        <v/>
      </c>
      <c r="K192" s="8">
        <f>IF(J192=0,G192,J192)</f>
        <v/>
      </c>
    </row>
    <row r="193" ht="15" customHeight="1">
      <c r="A193" s="12" t="n">
        <v>182</v>
      </c>
      <c r="B193" s="12" t="n">
        <v>425</v>
      </c>
      <c r="C193" s="12" t="n">
        <v>282</v>
      </c>
      <c r="D193" s="5" t="n">
        <v>-6</v>
      </c>
      <c r="E193" s="9">
        <f>D193+1.5</f>
        <v/>
      </c>
      <c r="F193" s="9">
        <f>D193-1.5</f>
        <v/>
      </c>
      <c r="G193" s="25" t="n">
        <v>-6</v>
      </c>
      <c r="H193" s="6">
        <f>IF(OR(K193&gt;E193,K193&lt;F193),"FAIL","PASS")</f>
        <v/>
      </c>
      <c r="I193" s="7">
        <f>IF(G193&gt;300,G193-360-D193,G193-D193)</f>
        <v/>
      </c>
      <c r="J193" s="8">
        <f>IF(G193&gt;300,G193-360,0)</f>
        <v/>
      </c>
      <c r="K193" s="8">
        <f>IF(J193=0,G193,J193)</f>
        <v/>
      </c>
    </row>
    <row r="194" ht="15" customHeight="1">
      <c r="A194" s="12" t="n">
        <v>181</v>
      </c>
      <c r="B194" s="12" t="n">
        <v>423</v>
      </c>
      <c r="C194" s="12" t="n">
        <v>210</v>
      </c>
      <c r="D194" s="5" t="n">
        <v>-4.96</v>
      </c>
      <c r="E194" s="9">
        <f>D194+1.5</f>
        <v/>
      </c>
      <c r="F194" s="9">
        <f>D194-1.5</f>
        <v/>
      </c>
      <c r="G194" s="25" t="n">
        <v>-4.96</v>
      </c>
      <c r="H194" s="6">
        <f>IF(OR(K194&gt;E194,K194&lt;F194),"FAIL","PASS")</f>
        <v/>
      </c>
      <c r="I194" s="7">
        <f>IF(G194&gt;300,G194-360-D194,G194-D194)</f>
        <v/>
      </c>
      <c r="J194" s="8">
        <f>IF(G194&gt;300,G194-360,0)</f>
        <v/>
      </c>
      <c r="K194" s="8">
        <f>IF(J194=0,G194,J194)</f>
        <v/>
      </c>
    </row>
    <row r="195" ht="15" customHeight="1">
      <c r="A195" s="12" t="n">
        <v>180</v>
      </c>
      <c r="B195" s="12" t="n">
        <v>421</v>
      </c>
      <c r="C195" s="12" t="n">
        <v>39</v>
      </c>
      <c r="D195" s="5" t="n">
        <v>-2.73</v>
      </c>
      <c r="E195" s="9">
        <f>D195+1.5</f>
        <v/>
      </c>
      <c r="F195" s="9">
        <f>D195-1.5</f>
        <v/>
      </c>
      <c r="G195" s="25" t="n">
        <v>-2.73</v>
      </c>
      <c r="H195" s="6">
        <f>IF(OR(K195&gt;E195,K195&lt;F195),"FAIL","PASS")</f>
        <v/>
      </c>
      <c r="I195" s="7">
        <f>IF(G195&gt;300,G195-360-D195,G195-D195)</f>
        <v/>
      </c>
      <c r="J195" s="8">
        <f>IF(G195&gt;300,G195-360,0)</f>
        <v/>
      </c>
      <c r="K195" s="8">
        <f>IF(J195=0,G195,J195)</f>
        <v/>
      </c>
    </row>
    <row r="196" ht="15" customHeight="1">
      <c r="A196" s="12" t="n">
        <v>179</v>
      </c>
      <c r="B196" s="12" t="n">
        <v>418</v>
      </c>
      <c r="C196" s="12" t="n">
        <v>227</v>
      </c>
      <c r="D196" s="5" t="n">
        <v>-0.87</v>
      </c>
      <c r="E196" s="9">
        <f>D196+1.5</f>
        <v/>
      </c>
      <c r="F196" s="9">
        <f>D196-1.5</f>
        <v/>
      </c>
      <c r="G196" s="25" t="n">
        <v>-0.87</v>
      </c>
      <c r="H196" s="6">
        <f>IF(OR(K196&gt;E196,K196&lt;F196),"FAIL","PASS")</f>
        <v/>
      </c>
      <c r="I196" s="7">
        <f>IF(G196&gt;300,G196-360-D196,G196-D196)</f>
        <v/>
      </c>
      <c r="J196" s="8">
        <f>IF(G196&gt;300,G196-360,0)</f>
        <v/>
      </c>
      <c r="K196" s="8">
        <f>IF(J196=0,G196,J196)</f>
        <v/>
      </c>
    </row>
    <row r="197" ht="15" customHeight="1">
      <c r="A197" s="12" t="n">
        <v>178</v>
      </c>
      <c r="B197" s="12" t="n">
        <v>416</v>
      </c>
      <c r="C197" s="12" t="n">
        <v>216</v>
      </c>
      <c r="D197" s="5" t="n">
        <v>0</v>
      </c>
      <c r="E197" s="9">
        <f>D197+1.5</f>
        <v/>
      </c>
      <c r="F197" s="9">
        <f>D197-1.5</f>
        <v/>
      </c>
      <c r="G197" s="25" t="n">
        <v>0</v>
      </c>
      <c r="H197" s="6">
        <f>IF(OR(K197&gt;E197,K197&lt;F197),"FAIL","PASS")</f>
        <v/>
      </c>
      <c r="I197" s="7">
        <f>IF(G197&gt;300,G197-360-D197,G197-D197)</f>
        <v/>
      </c>
      <c r="J197" s="8">
        <f>IF(G197&gt;300,G197-360,0)</f>
        <v/>
      </c>
      <c r="K197" s="8">
        <f>IF(J197=0,G197,J197)</f>
        <v/>
      </c>
    </row>
    <row r="198" ht="15" customHeight="1">
      <c r="A198" s="12" t="n">
        <v>177</v>
      </c>
      <c r="B198" s="12" t="n">
        <v>416</v>
      </c>
      <c r="C198" s="12" t="n">
        <v>55</v>
      </c>
      <c r="D198" s="5" t="n">
        <v>0.46</v>
      </c>
      <c r="E198" s="9">
        <f>D198+1.5</f>
        <v/>
      </c>
      <c r="F198" s="9">
        <f>D198-1.5</f>
        <v/>
      </c>
      <c r="G198" s="25" t="n">
        <v>0.46</v>
      </c>
      <c r="H198" s="6">
        <f>IF(OR(K198&gt;E198,K198&lt;F198),"FAIL","PASS")</f>
        <v/>
      </c>
      <c r="I198" s="7">
        <f>IF(G198&gt;300,G198-360-D198,G198-D198)</f>
        <v/>
      </c>
      <c r="J198" s="8">
        <f>IF(G198&gt;300,G198-360,0)</f>
        <v/>
      </c>
      <c r="K198" s="8">
        <f>IF(J198=0,G198,J198)</f>
        <v/>
      </c>
    </row>
    <row r="199" ht="15" customHeight="1">
      <c r="A199" s="12" t="n">
        <v>176</v>
      </c>
      <c r="B199" s="12" t="n">
        <v>413</v>
      </c>
      <c r="C199" s="12" t="n">
        <v>243</v>
      </c>
      <c r="D199" s="5" t="n">
        <v>1.34</v>
      </c>
      <c r="E199" s="9">
        <f>D199+1.5</f>
        <v/>
      </c>
      <c r="F199" s="9">
        <f>D199-1.5</f>
        <v/>
      </c>
      <c r="G199" s="25" t="n">
        <v>1.34</v>
      </c>
      <c r="H199" s="6">
        <f>IF(OR(K199&gt;E199,K199&lt;F199),"FAIL","PASS")</f>
        <v/>
      </c>
      <c r="I199" s="7">
        <f>IF(G199&gt;300,G199-360-D199,G199-D199)</f>
        <v/>
      </c>
      <c r="J199" s="8">
        <f>IF(G199&gt;300,G199-360,0)</f>
        <v/>
      </c>
      <c r="K199" s="8">
        <f>IF(J199=0,G199,J199)</f>
        <v/>
      </c>
    </row>
    <row r="200" ht="15" customHeight="1">
      <c r="A200" s="12" t="n">
        <v>175</v>
      </c>
      <c r="B200" s="12" t="n">
        <v>411</v>
      </c>
      <c r="C200" s="12" t="n">
        <v>72</v>
      </c>
      <c r="D200" s="5" t="n">
        <v>1.59</v>
      </c>
      <c r="E200" s="9">
        <f>D200+1.5</f>
        <v/>
      </c>
      <c r="F200" s="9">
        <f>D200-1.5</f>
        <v/>
      </c>
      <c r="G200" s="25" t="n">
        <v>1.59</v>
      </c>
      <c r="H200" s="6">
        <f>IF(OR(K200&gt;E200,K200&lt;F200),"FAIL","PASS")</f>
        <v/>
      </c>
      <c r="I200" s="7">
        <f>IF(G200&gt;300,G200-360-D200,G200-D200)</f>
        <v/>
      </c>
      <c r="J200" s="8">
        <f>IF(G200&gt;300,G200-360,0)</f>
        <v/>
      </c>
      <c r="K200" s="8">
        <f>IF(J200=0,G200,J200)</f>
        <v/>
      </c>
    </row>
    <row r="201" ht="15" customHeight="1">
      <c r="A201" s="12" t="n">
        <v>174</v>
      </c>
      <c r="B201" s="12" t="n">
        <v>408</v>
      </c>
      <c r="C201" s="12" t="n">
        <v>260</v>
      </c>
      <c r="D201" s="5" t="n">
        <v>2.06</v>
      </c>
      <c r="E201" s="9">
        <f>D201+1.5</f>
        <v/>
      </c>
      <c r="F201" s="9">
        <f>D201-1.5</f>
        <v/>
      </c>
      <c r="G201" s="25" t="n">
        <v>2.43</v>
      </c>
      <c r="H201" s="6">
        <f>IF(OR(K201&gt;E201,K201&lt;F201),"FAIL","PASS")</f>
        <v/>
      </c>
      <c r="I201" s="7">
        <f>IF(G201&gt;300,G201-360-D201,G201-D201)</f>
        <v/>
      </c>
      <c r="J201" s="8">
        <f>IF(G201&gt;300,G201-360,0)</f>
        <v/>
      </c>
      <c r="K201" s="8">
        <f>IF(J201=0,G201,J201)</f>
        <v/>
      </c>
    </row>
    <row r="202" ht="15" customHeight="1">
      <c r="A202" s="12" t="n">
        <v>173</v>
      </c>
      <c r="B202" s="12" t="n">
        <v>406</v>
      </c>
      <c r="C202" s="12" t="n">
        <v>88</v>
      </c>
      <c r="D202" s="5" t="n">
        <v>2.61</v>
      </c>
      <c r="E202" s="9">
        <f>D202+1.5</f>
        <v/>
      </c>
      <c r="F202" s="9">
        <f>D202-1.5</f>
        <v/>
      </c>
      <c r="G202" s="25" t="n">
        <v>2.98</v>
      </c>
      <c r="H202" s="6">
        <f>IF(OR(K202&gt;E202,K202&lt;F202),"FAIL","PASS")</f>
        <v/>
      </c>
      <c r="I202" s="7">
        <f>IF(G202&gt;300,G202-360-D202,G202-D202)</f>
        <v/>
      </c>
      <c r="J202" s="8">
        <f>IF(G202&gt;300,G202-360,0)</f>
        <v/>
      </c>
      <c r="K202" s="8">
        <f>IF(J202=0,G202,J202)</f>
        <v/>
      </c>
    </row>
    <row r="203" ht="15" customHeight="1">
      <c r="A203" s="12" t="n">
        <v>172</v>
      </c>
      <c r="B203" s="12" t="n">
        <v>403</v>
      </c>
      <c r="C203" s="12" t="n">
        <v>276</v>
      </c>
      <c r="D203" s="5" t="n">
        <v>3.17</v>
      </c>
      <c r="E203" s="9">
        <f>D203+1.5</f>
        <v/>
      </c>
      <c r="F203" s="9">
        <f>D203-1.5</f>
        <v/>
      </c>
      <c r="G203" s="25" t="n">
        <v>3.54</v>
      </c>
      <c r="H203" s="6">
        <f>IF(OR(K203&gt;E203,K203&lt;F203),"FAIL","PASS")</f>
        <v/>
      </c>
      <c r="I203" s="7">
        <f>IF(G203&gt;300,G203-360-D203,G203-D203)</f>
        <v/>
      </c>
      <c r="J203" s="8">
        <f>IF(G203&gt;300,G203-360,0)</f>
        <v/>
      </c>
      <c r="K203" s="8">
        <f>IF(J203=0,G203,J203)</f>
        <v/>
      </c>
    </row>
    <row r="204" ht="15" customHeight="1">
      <c r="A204" s="12" t="n">
        <v>171</v>
      </c>
      <c r="B204" s="12" t="n">
        <v>401</v>
      </c>
      <c r="C204" s="12" t="n">
        <v>105</v>
      </c>
      <c r="D204" s="5" t="n">
        <v>3.74</v>
      </c>
      <c r="E204" s="9">
        <f>D204+1.5</f>
        <v/>
      </c>
      <c r="F204" s="9">
        <f>D204-1.5</f>
        <v/>
      </c>
      <c r="G204" s="25" t="n">
        <v>4.12</v>
      </c>
      <c r="H204" s="6">
        <f>IF(OR(K204&gt;E204,K204&lt;F204),"FAIL","PASS")</f>
        <v/>
      </c>
      <c r="I204" s="7">
        <f>IF(G204&gt;300,G204-360-D204,G204-D204)</f>
        <v/>
      </c>
      <c r="J204" s="8">
        <f>IF(G204&gt;300,G204-360,0)</f>
        <v/>
      </c>
      <c r="K204" s="8">
        <f>IF(J204=0,G204,J204)</f>
        <v/>
      </c>
    </row>
    <row r="205" ht="15" customHeight="1">
      <c r="A205" s="12" t="n">
        <v>170</v>
      </c>
      <c r="B205" s="12" t="n">
        <v>398</v>
      </c>
      <c r="C205" s="12" t="n">
        <v>293</v>
      </c>
      <c r="D205" s="5" t="n">
        <v>4.22</v>
      </c>
      <c r="E205" s="9">
        <f>D205+1.5</f>
        <v/>
      </c>
      <c r="F205" s="9">
        <f>D205-1.5</f>
        <v/>
      </c>
      <c r="G205" s="25" t="n">
        <v>4.62</v>
      </c>
      <c r="H205" s="6">
        <f>IF(OR(K205&gt;E205,K205&lt;F205),"FAIL","PASS")</f>
        <v/>
      </c>
      <c r="I205" s="7">
        <f>IF(G205&gt;300,G205-360-D205,G205-D205)</f>
        <v/>
      </c>
      <c r="J205" s="8">
        <f>IF(G205&gt;300,G205-360,0)</f>
        <v/>
      </c>
      <c r="K205" s="8">
        <f>IF(J205=0,G205,J205)</f>
        <v/>
      </c>
    </row>
    <row r="206" ht="15" customHeight="1">
      <c r="A206" s="12" t="n">
        <v>169</v>
      </c>
      <c r="B206" s="12" t="n">
        <v>396</v>
      </c>
      <c r="C206" s="12" t="n">
        <v>121</v>
      </c>
      <c r="D206" s="5" t="n">
        <v>4.84</v>
      </c>
      <c r="E206" s="9">
        <f>D206+1.5</f>
        <v/>
      </c>
      <c r="F206" s="9">
        <f>D206-1.5</f>
        <v/>
      </c>
      <c r="G206" s="25" t="n">
        <v>5.27</v>
      </c>
      <c r="H206" s="6">
        <f>IF(OR(K206&gt;E206,K206&lt;F206),"FAIL","PASS")</f>
        <v/>
      </c>
      <c r="I206" s="7">
        <f>IF(G206&gt;300,G206-360-D206,G206-D206)</f>
        <v/>
      </c>
      <c r="J206" s="8">
        <f>IF(G206&gt;300,G206-360,0)</f>
        <v/>
      </c>
      <c r="K206" s="8">
        <f>IF(J206=0,G206,J206)</f>
        <v/>
      </c>
    </row>
    <row r="207" ht="15" customHeight="1">
      <c r="A207" s="12" t="n">
        <v>168</v>
      </c>
      <c r="B207" s="12" t="n">
        <v>393</v>
      </c>
      <c r="C207" s="12" t="n">
        <v>309</v>
      </c>
      <c r="D207" s="5" t="n">
        <v>5.52</v>
      </c>
      <c r="E207" s="9">
        <f>D207+1.5</f>
        <v/>
      </c>
      <c r="F207" s="9">
        <f>D207-1.5</f>
        <v/>
      </c>
      <c r="G207" s="25" t="n">
        <v>5.98</v>
      </c>
      <c r="H207" s="6">
        <f>IF(OR(K207&gt;E207,K207&lt;F207),"FAIL","PASS")</f>
        <v/>
      </c>
      <c r="I207" s="7">
        <f>IF(G207&gt;300,G207-360-D207,G207-D207)</f>
        <v/>
      </c>
      <c r="J207" s="8">
        <f>IF(G207&gt;300,G207-360,0)</f>
        <v/>
      </c>
      <c r="K207" s="8">
        <f>IF(J207=0,G207,J207)</f>
        <v/>
      </c>
    </row>
    <row r="208" ht="15" customHeight="1">
      <c r="A208" s="12" t="n">
        <v>167</v>
      </c>
      <c r="B208" s="12" t="n">
        <v>391</v>
      </c>
      <c r="C208" s="12" t="n">
        <v>137</v>
      </c>
      <c r="D208" s="5" t="n">
        <v>6.23</v>
      </c>
      <c r="E208" s="9">
        <f>D208+1.5</f>
        <v/>
      </c>
      <c r="F208" s="9">
        <f>D208-1.5</f>
        <v/>
      </c>
      <c r="G208" s="25" t="n">
        <v>6.67</v>
      </c>
      <c r="H208" s="6">
        <f>IF(OR(K208&gt;E208,K208&lt;F208),"FAIL","PASS")</f>
        <v/>
      </c>
      <c r="I208" s="7">
        <f>IF(G208&gt;300,G208-360-D208,G208-D208)</f>
        <v/>
      </c>
      <c r="J208" s="8">
        <f>IF(G208&gt;300,G208-360,0)</f>
        <v/>
      </c>
      <c r="K208" s="8">
        <f>IF(J208=0,G208,J208)</f>
        <v/>
      </c>
    </row>
    <row r="209" ht="15" customHeight="1">
      <c r="A209" s="12" t="n">
        <v>166</v>
      </c>
      <c r="B209" s="12" t="n">
        <v>388</v>
      </c>
      <c r="C209" s="12" t="n">
        <v>326</v>
      </c>
      <c r="D209" s="5" t="n">
        <v>6.88</v>
      </c>
      <c r="E209" s="9">
        <f>D209+1.5</f>
        <v/>
      </c>
      <c r="F209" s="9">
        <f>D209-1.5</f>
        <v/>
      </c>
      <c r="G209" s="25" t="n">
        <v>7.32</v>
      </c>
      <c r="H209" s="6">
        <f>IF(OR(K209&gt;E209,K209&lt;F209),"FAIL","PASS")</f>
        <v/>
      </c>
      <c r="I209" s="7">
        <f>IF(G209&gt;300,G209-360-D209,G209-D209)</f>
        <v/>
      </c>
      <c r="J209" s="8">
        <f>IF(G209&gt;300,G209-360,0)</f>
        <v/>
      </c>
      <c r="K209" s="8">
        <f>IF(J209=0,G209,J209)</f>
        <v/>
      </c>
    </row>
    <row r="210" ht="15" customHeight="1">
      <c r="A210" s="12" t="n">
        <v>165</v>
      </c>
      <c r="B210" s="12" t="n">
        <v>386</v>
      </c>
      <c r="C210" s="12" t="n">
        <v>154</v>
      </c>
      <c r="D210" s="5" t="n">
        <v>7.52</v>
      </c>
      <c r="E210" s="9">
        <f>D210+1.5</f>
        <v/>
      </c>
      <c r="F210" s="9">
        <f>D210-1.5</f>
        <v/>
      </c>
      <c r="G210" s="25" t="n">
        <v>8.01</v>
      </c>
      <c r="H210" s="6">
        <f>IF(OR(K210&gt;E210,K210&lt;F210),"FAIL","PASS")</f>
        <v/>
      </c>
      <c r="I210" s="7">
        <f>IF(G210&gt;300,G210-360-D210,G210-D210)</f>
        <v/>
      </c>
      <c r="J210" s="8">
        <f>IF(G210&gt;300,G210-360,0)</f>
        <v/>
      </c>
      <c r="K210" s="8">
        <f>IF(J210=0,G210,J210)</f>
        <v/>
      </c>
    </row>
    <row r="211" ht="15" customHeight="1">
      <c r="A211" s="12" t="n">
        <v>164</v>
      </c>
      <c r="B211" s="12" t="n">
        <v>383</v>
      </c>
      <c r="C211" s="12" t="n">
        <v>342</v>
      </c>
      <c r="D211" s="5" t="n">
        <v>8.17</v>
      </c>
      <c r="E211" s="9">
        <f>D211+1.5</f>
        <v/>
      </c>
      <c r="F211" s="9">
        <f>D211-1.5</f>
        <v/>
      </c>
      <c r="G211" s="25" t="n">
        <v>8.65</v>
      </c>
      <c r="H211" s="6">
        <f>IF(OR(K211&gt;E211,K211&lt;F211),"FAIL","PASS")</f>
        <v/>
      </c>
      <c r="I211" s="7">
        <f>IF(G211&gt;300,G211-360-D211,G211-D211)</f>
        <v/>
      </c>
      <c r="J211" s="8">
        <f>IF(G211&gt;300,G211-360,0)</f>
        <v/>
      </c>
      <c r="K211" s="8">
        <f>IF(J211=0,G211,J211)</f>
        <v/>
      </c>
    </row>
    <row r="212" ht="15" customHeight="1">
      <c r="A212" s="12" t="n">
        <v>163</v>
      </c>
      <c r="B212" s="12" t="n">
        <v>381</v>
      </c>
      <c r="C212" s="12" t="n">
        <v>170</v>
      </c>
      <c r="D212" s="5" t="n">
        <v>8.779999999999999</v>
      </c>
      <c r="E212" s="9">
        <f>D212+1.5</f>
        <v/>
      </c>
      <c r="F212" s="9">
        <f>D212-1.5</f>
        <v/>
      </c>
      <c r="G212" s="25" t="n">
        <v>9.33</v>
      </c>
      <c r="H212" s="6">
        <f>IF(OR(K212&gt;E212,K212&lt;F212),"FAIL","PASS")</f>
        <v/>
      </c>
      <c r="I212" s="7">
        <f>IF(G212&gt;300,G212-360-D212,G212-D212)</f>
        <v/>
      </c>
      <c r="J212" s="8">
        <f>IF(G212&gt;300,G212-360,0)</f>
        <v/>
      </c>
      <c r="K212" s="8">
        <f>IF(J212=0,G212,J212)</f>
        <v/>
      </c>
    </row>
    <row r="213" ht="13.5" customHeight="1">
      <c r="A213" s="12" t="n">
        <v>162</v>
      </c>
      <c r="B213" s="11" t="inlineStr">
        <is>
          <t xml:space="preserve"> 378
</t>
        </is>
      </c>
      <c r="C213" s="12" t="n">
        <v>359</v>
      </c>
      <c r="D213" s="5" t="n">
        <v>9.43</v>
      </c>
      <c r="E213" s="9">
        <f>D213+1.5</f>
        <v/>
      </c>
      <c r="F213" s="9">
        <f>D213-1.5</f>
        <v/>
      </c>
      <c r="G213" s="26" t="n">
        <v>9.960000000000001</v>
      </c>
      <c r="H213" s="6">
        <f>IF(OR(K213&gt;E213,K213&lt;F213),"FAIL","PASS")</f>
        <v/>
      </c>
      <c r="I213" s="7">
        <f>IF(G213&gt;300,G213-360-D213,G213-D213)</f>
        <v/>
      </c>
      <c r="J213" s="8">
        <f>IF(G213&gt;300,G213-360,0)</f>
        <v/>
      </c>
      <c r="K213" s="8">
        <f>IF(J213=0,G213,J213)</f>
        <v/>
      </c>
    </row>
    <row r="214" ht="15" customHeight="1">
      <c r="A214" s="12" t="n">
        <v>161</v>
      </c>
      <c r="B214" s="12" t="n">
        <v>376</v>
      </c>
      <c r="C214" s="12" t="n">
        <v>187</v>
      </c>
      <c r="D214" s="5" t="n">
        <v>10.07</v>
      </c>
      <c r="E214" s="9">
        <f>D214+1.5</f>
        <v/>
      </c>
      <c r="F214" s="9">
        <f>D214-1.5</f>
        <v/>
      </c>
      <c r="G214" s="25" t="n">
        <v>10.63</v>
      </c>
      <c r="H214" s="6">
        <f>IF(OR(K214&gt;E214,K214&lt;F214),"FAIL","PASS")</f>
        <v/>
      </c>
      <c r="I214" s="7">
        <f>IF(G214&gt;300,G214-360-D214,G214-D214)</f>
        <v/>
      </c>
      <c r="J214" s="8">
        <f>IF(G214&gt;300,G214-360,0)</f>
        <v/>
      </c>
      <c r="K214" s="8">
        <f>IF(J214=0,G214,J214)</f>
        <v/>
      </c>
    </row>
    <row r="215" ht="16.5" customHeight="1">
      <c r="A215" s="12" t="n">
        <v>160</v>
      </c>
      <c r="B215" s="11" t="n">
        <v>374</v>
      </c>
      <c r="C215" s="12" t="n">
        <v>15</v>
      </c>
      <c r="D215" s="5" t="n">
        <v>10.75</v>
      </c>
      <c r="E215" s="9">
        <f>D215+1.5</f>
        <v/>
      </c>
      <c r="F215" s="9">
        <f>D215-1.5</f>
        <v/>
      </c>
      <c r="G215" s="25" t="n">
        <v>11.25</v>
      </c>
      <c r="H215" s="6">
        <f>IF(OR(K215&gt;E215,K215&lt;F215),"FAIL","PASS")</f>
        <v/>
      </c>
      <c r="I215" s="7">
        <f>IF(G215&gt;300,G215-360-D215,G215-D215)</f>
        <v/>
      </c>
      <c r="J215" s="8">
        <f>IF(G215&gt;300,G215-360,0)</f>
        <v/>
      </c>
      <c r="K215" s="8">
        <f>IF(J215=0,G215,J215)</f>
        <v/>
      </c>
    </row>
    <row r="216" ht="15" customHeight="1">
      <c r="A216" s="11" t="inlineStr">
        <is>
          <t xml:space="preserve">159
</t>
        </is>
      </c>
      <c r="B216" s="11" t="n">
        <v>371</v>
      </c>
      <c r="C216" s="12" t="n">
        <v>203</v>
      </c>
      <c r="D216" s="5" t="n">
        <v>11.56</v>
      </c>
      <c r="E216" s="9">
        <f>D216+1.5</f>
        <v/>
      </c>
      <c r="F216" s="9">
        <f>D216-1.5</f>
        <v/>
      </c>
      <c r="G216" s="26" t="n">
        <v>11.94</v>
      </c>
      <c r="H216" s="6">
        <f>IF(OR(K216&gt;E216,K216&lt;F216),"FAIL","PASS")</f>
        <v/>
      </c>
      <c r="I216" s="7">
        <f>IF(G216&gt;300,G216-360-D216,G216-D216)</f>
        <v/>
      </c>
      <c r="J216" s="8">
        <f>IF(G216&gt;300,G216-360,0)</f>
        <v/>
      </c>
      <c r="K216" s="8">
        <f>IF(J216=0,G216,J216)</f>
        <v/>
      </c>
    </row>
    <row r="217" ht="15" customHeight="1">
      <c r="A217" s="12" t="n">
        <v>158</v>
      </c>
      <c r="B217" s="12" t="n">
        <v>369</v>
      </c>
      <c r="C217" s="12" t="n">
        <v>32</v>
      </c>
      <c r="D217" s="5" t="n">
        <v>12.6</v>
      </c>
      <c r="E217" s="9">
        <f>D217+1.5</f>
        <v/>
      </c>
      <c r="F217" s="9">
        <f>D217-1.5</f>
        <v/>
      </c>
      <c r="G217" s="25" t="n">
        <v>12.58</v>
      </c>
      <c r="H217" s="6">
        <f>IF(OR(K217&gt;E217,K217&lt;F217),"FAIL","PASS")</f>
        <v/>
      </c>
      <c r="I217" s="7">
        <f>IF(G217&gt;300,G217-360-D217,G217-D217)</f>
        <v/>
      </c>
      <c r="J217" s="8">
        <f>IF(G217&gt;300,G217-360,0)</f>
        <v/>
      </c>
      <c r="K217" s="8">
        <f>IF(J217=0,G217,J217)</f>
        <v/>
      </c>
    </row>
    <row r="218" ht="13.5" customHeight="1">
      <c r="A218" s="12" t="n">
        <v>157</v>
      </c>
      <c r="B218" s="12" t="n">
        <v>366</v>
      </c>
      <c r="C218" s="12" t="n">
        <v>220</v>
      </c>
      <c r="D218" s="5" t="n">
        <v>13.31</v>
      </c>
      <c r="E218" s="9">
        <f>D218+1.5</f>
        <v/>
      </c>
      <c r="F218" s="9">
        <f>D218-1.5</f>
        <v/>
      </c>
      <c r="G218" s="25" t="n">
        <v>13.29</v>
      </c>
      <c r="H218" s="6">
        <f>IF(OR(K218&gt;E218,K218&lt;F218),"FAIL","PASS")</f>
        <v/>
      </c>
      <c r="I218" s="7">
        <f>IF(G218&gt;300,G218-360-D218,G218-D218)</f>
        <v/>
      </c>
      <c r="J218" s="8">
        <f>IF(G218&gt;300,G218-360,0)</f>
        <v/>
      </c>
      <c r="K218" s="8">
        <f>IF(J218=0,G218,J218)</f>
        <v/>
      </c>
    </row>
    <row r="219" ht="15" customHeight="1">
      <c r="A219" s="12" t="n">
        <v>156</v>
      </c>
      <c r="B219" s="12" t="n">
        <v>364</v>
      </c>
      <c r="C219" s="12" t="n">
        <v>48</v>
      </c>
      <c r="D219" s="5" t="n">
        <v>13.97</v>
      </c>
      <c r="E219" s="9">
        <f>D219+1.5</f>
        <v/>
      </c>
      <c r="F219" s="9">
        <f>D219-1.5</f>
        <v/>
      </c>
      <c r="G219" s="25" t="n">
        <v>13.93</v>
      </c>
      <c r="H219" s="6">
        <f>IF(OR(K219&gt;E219,K219&lt;F219),"FAIL","PASS")</f>
        <v/>
      </c>
      <c r="I219" s="7">
        <f>IF(G219&gt;300,G219-360-D219,G219-D219)</f>
        <v/>
      </c>
      <c r="J219" s="8">
        <f>IF(G219&gt;300,G219-360,0)</f>
        <v/>
      </c>
      <c r="K219" s="8">
        <f>IF(J219=0,G219,J219)</f>
        <v/>
      </c>
    </row>
    <row r="220" ht="15" customHeight="1">
      <c r="A220" s="12" t="n">
        <v>155</v>
      </c>
      <c r="B220" s="12" t="n">
        <v>361</v>
      </c>
      <c r="C220" s="12" t="n">
        <v>236</v>
      </c>
      <c r="D220" s="5" t="n">
        <v>14.64</v>
      </c>
      <c r="E220" s="9">
        <f>D220+1.5</f>
        <v/>
      </c>
      <c r="F220" s="9">
        <f>D220-1.5</f>
        <v/>
      </c>
      <c r="G220" s="25" t="n">
        <v>14.62</v>
      </c>
      <c r="H220" s="6">
        <f>IF(OR(K220&gt;E220,K220&lt;F220),"FAIL","PASS")</f>
        <v/>
      </c>
      <c r="I220" s="7">
        <f>IF(G220&gt;300,G220-360-D220,G220-D220)</f>
        <v/>
      </c>
      <c r="J220" s="8">
        <f>IF(G220&gt;300,G220-360,0)</f>
        <v/>
      </c>
      <c r="K220" s="8">
        <f>IF(J220=0,G220,J220)</f>
        <v/>
      </c>
    </row>
    <row r="221" ht="15" customHeight="1">
      <c r="A221" s="12" t="n">
        <v>154</v>
      </c>
      <c r="B221" s="12" t="n">
        <v>359</v>
      </c>
      <c r="C221" s="12" t="n">
        <v>65</v>
      </c>
      <c r="D221" s="16" t="n">
        <v>15.31</v>
      </c>
      <c r="E221" s="9">
        <f>D221+1.5</f>
        <v/>
      </c>
      <c r="F221" s="9">
        <f>D221-1.5</f>
        <v/>
      </c>
      <c r="G221" s="25" t="n">
        <v>15.25</v>
      </c>
      <c r="H221" s="6">
        <f>IF(OR(K221&gt;E221,K221&lt;F221),"FAIL","PASS")</f>
        <v/>
      </c>
      <c r="I221" s="7">
        <f>IF(G221&gt;300,G221-360-D221,G221-D221)</f>
        <v/>
      </c>
      <c r="J221" s="8">
        <f>IF(G221&gt;300,G221-360,0)</f>
        <v/>
      </c>
      <c r="K221" s="8">
        <f>IF(J221=0,G221,J221)</f>
        <v/>
      </c>
    </row>
    <row r="222" ht="15" customHeight="1">
      <c r="A222" s="12" t="n">
        <v>153</v>
      </c>
      <c r="B222" s="12" t="n">
        <v>356</v>
      </c>
      <c r="C222" s="12" t="n">
        <v>253</v>
      </c>
      <c r="D222" s="5" t="n">
        <v>15.98</v>
      </c>
      <c r="E222" s="9">
        <f>D222+1.5</f>
        <v/>
      </c>
      <c r="F222" s="9">
        <f>D222-1.5</f>
        <v/>
      </c>
      <c r="G222" s="25" t="n">
        <v>15.94</v>
      </c>
      <c r="H222" s="6">
        <f>IF(OR(K222&gt;E222,K222&lt;F222),"FAIL","PASS")</f>
        <v/>
      </c>
      <c r="I222" s="7">
        <f>IF(G222&gt;300,G222-360-D222,G222-D222)</f>
        <v/>
      </c>
      <c r="J222" s="8">
        <f>IF(G222&gt;300,G222-360,0)</f>
        <v/>
      </c>
      <c r="K222" s="8">
        <f>IF(J222=0,G222,J222)</f>
        <v/>
      </c>
    </row>
    <row r="223" ht="15" customHeight="1">
      <c r="A223" s="12" t="n">
        <v>152</v>
      </c>
      <c r="B223" s="12" t="n">
        <v>354</v>
      </c>
      <c r="C223" s="12" t="n">
        <v>81</v>
      </c>
      <c r="D223" s="5" t="n">
        <v>16.68</v>
      </c>
      <c r="E223" s="9">
        <f>D223+1.5</f>
        <v/>
      </c>
      <c r="F223" s="9">
        <f>D223-1.5</f>
        <v/>
      </c>
      <c r="G223" s="25" t="n">
        <v>16.57</v>
      </c>
      <c r="H223" s="6">
        <f>IF(OR(K223&gt;E223,K223&lt;F223),"FAIL","PASS")</f>
        <v/>
      </c>
      <c r="I223" s="7">
        <f>IF(G223&gt;300,G223-360-D223,G223-D223)</f>
        <v/>
      </c>
      <c r="J223" s="8">
        <f>IF(G223&gt;300,G223-360,0)</f>
        <v/>
      </c>
      <c r="K223" s="8">
        <f>IF(J223=0,G223,J223)</f>
        <v/>
      </c>
    </row>
    <row r="224" ht="15" customHeight="1">
      <c r="A224" s="12" t="n">
        <v>151</v>
      </c>
      <c r="B224" s="12" t="n">
        <v>351</v>
      </c>
      <c r="C224" s="12" t="n">
        <v>269</v>
      </c>
      <c r="D224" s="5" t="n">
        <v>17.36</v>
      </c>
      <c r="E224" s="9">
        <f>D224+1.5</f>
        <v/>
      </c>
      <c r="F224" s="9">
        <f>D224-1.5</f>
        <v/>
      </c>
      <c r="G224" s="25" t="n">
        <v>17.24</v>
      </c>
      <c r="H224" s="6">
        <f>IF(OR(K224&gt;E224,K224&lt;F224),"FAIL","PASS")</f>
        <v/>
      </c>
      <c r="I224" s="7">
        <f>IF(G224&gt;300,G224-360-D224,G224-D224)</f>
        <v/>
      </c>
      <c r="J224" s="8">
        <f>IF(G224&gt;300,G224-360,0)</f>
        <v/>
      </c>
      <c r="K224" s="8">
        <f>IF(J224=0,G224,J224)</f>
        <v/>
      </c>
    </row>
    <row r="225" ht="15" customHeight="1">
      <c r="A225" s="12" t="n">
        <v>150</v>
      </c>
      <c r="B225" s="12" t="n">
        <v>349</v>
      </c>
      <c r="C225" s="12" t="n">
        <v>98</v>
      </c>
      <c r="D225" s="5" t="n">
        <v>18</v>
      </c>
      <c r="E225" s="9">
        <f>D225+1.5</f>
        <v/>
      </c>
      <c r="F225" s="9">
        <f>D225-1.5</f>
        <v/>
      </c>
      <c r="G225" s="25" t="n">
        <v>17.89</v>
      </c>
      <c r="H225" s="6">
        <f>IF(OR(K225&gt;E225,K225&lt;F225),"FAIL","PASS")</f>
        <v/>
      </c>
      <c r="I225" s="7">
        <f>IF(G225&gt;300,G225-360-D225,G225-D225)</f>
        <v/>
      </c>
      <c r="J225" s="8">
        <f>IF(G225&gt;300,G225-360,0)</f>
        <v/>
      </c>
      <c r="K225" s="8">
        <f>IF(J225=0,G225,J225)</f>
        <v/>
      </c>
    </row>
    <row r="226" ht="15" customHeight="1">
      <c r="A226" s="12" t="n">
        <v>149</v>
      </c>
      <c r="B226" s="12" t="n">
        <v>346</v>
      </c>
      <c r="C226" s="12" t="n">
        <v>286</v>
      </c>
      <c r="D226" s="5" t="n">
        <v>18.65</v>
      </c>
      <c r="E226" s="9">
        <f>D226+1.5</f>
        <v/>
      </c>
      <c r="F226" s="9">
        <f>D226-1.5</f>
        <v/>
      </c>
      <c r="G226" s="25" t="n">
        <v>18.56</v>
      </c>
      <c r="H226" s="6">
        <f>IF(OR(K226&gt;E226,K226&lt;F226),"FAIL","PASS")</f>
        <v/>
      </c>
      <c r="I226" s="7">
        <f>IF(G226&gt;300,G226-360-D226,G226-D226)</f>
        <v/>
      </c>
      <c r="J226" s="8">
        <f>IF(G226&gt;300,G226-360,0)</f>
        <v/>
      </c>
      <c r="K226" s="8">
        <f>IF(J226=0,G226,J226)</f>
        <v/>
      </c>
    </row>
    <row r="227" ht="15" customHeight="1">
      <c r="A227" s="12" t="n">
        <v>148</v>
      </c>
      <c r="B227" s="12" t="n">
        <v>344</v>
      </c>
      <c r="C227" s="12" t="n">
        <v>114</v>
      </c>
      <c r="D227" s="5" t="n">
        <v>19.32</v>
      </c>
      <c r="E227" s="9">
        <f>D227+1.5</f>
        <v/>
      </c>
      <c r="F227" s="9">
        <f>D227-1.5</f>
        <v/>
      </c>
      <c r="G227" s="25" t="n">
        <v>19.17</v>
      </c>
      <c r="H227" s="6">
        <f>IF(OR(K227&gt;E227,K227&lt;F227),"FAIL","PASS")</f>
        <v/>
      </c>
      <c r="I227" s="7">
        <f>IF(G227&gt;300,G227-360-D227,G227-D227)</f>
        <v/>
      </c>
      <c r="J227" s="8">
        <f>IF(G227&gt;300,G227-360,0)</f>
        <v/>
      </c>
      <c r="K227" s="8">
        <f>IF(J227=0,G227,J227)</f>
        <v/>
      </c>
    </row>
    <row r="228" ht="15" customHeight="1">
      <c r="A228" s="12" t="n">
        <v>147</v>
      </c>
      <c r="B228" s="12" t="n">
        <v>341</v>
      </c>
      <c r="C228" s="12" t="n">
        <v>302</v>
      </c>
      <c r="D228" s="5" t="n">
        <v>19.96</v>
      </c>
      <c r="E228" s="9">
        <f>D228+1.5</f>
        <v/>
      </c>
      <c r="F228" s="9">
        <f>D228-1.5</f>
        <v/>
      </c>
      <c r="G228" s="25" t="n">
        <v>19.85</v>
      </c>
      <c r="H228" s="6">
        <f>IF(OR(K228&gt;E228,K228&lt;F228),"FAIL","PASS")</f>
        <v/>
      </c>
      <c r="I228" s="7">
        <f>IF(G228&gt;300,G228-360-D228,G228-D228)</f>
        <v/>
      </c>
      <c r="J228" s="8">
        <f>IF(G228&gt;300,G228-360,0)</f>
        <v/>
      </c>
      <c r="K228" s="8">
        <f>IF(J228=0,G228,J228)</f>
        <v/>
      </c>
    </row>
    <row r="229" ht="15" customHeight="1">
      <c r="A229" s="12" t="n">
        <v>146</v>
      </c>
      <c r="B229" s="12" t="n">
        <v>339</v>
      </c>
      <c r="C229" s="12" t="n">
        <v>131</v>
      </c>
      <c r="D229" s="5" t="n">
        <v>20.61</v>
      </c>
      <c r="E229" s="9">
        <f>D229+1.5</f>
        <v/>
      </c>
      <c r="F229" s="9">
        <f>D229-1.5</f>
        <v/>
      </c>
      <c r="G229" s="25" t="n">
        <v>20.47</v>
      </c>
      <c r="H229" s="6">
        <f>IF(OR(K229&gt;E229,K229&lt;F229),"FAIL","PASS")</f>
        <v/>
      </c>
      <c r="I229" s="7">
        <f>IF(G229&gt;300,G229-360-D229,G229-D229)</f>
        <v/>
      </c>
      <c r="J229" s="8">
        <f>IF(G229&gt;300,G229-360,0)</f>
        <v/>
      </c>
      <c r="K229" s="8">
        <f>IF(J229=0,G229,J229)</f>
        <v/>
      </c>
    </row>
    <row r="230" ht="15" customHeight="1">
      <c r="A230" s="12" t="n">
        <v>145</v>
      </c>
      <c r="B230" s="12" t="n">
        <v>336</v>
      </c>
      <c r="C230" s="12" t="n">
        <v>319</v>
      </c>
      <c r="D230" s="5" t="n">
        <v>21.28</v>
      </c>
      <c r="E230" s="9">
        <f>D230+1.5</f>
        <v/>
      </c>
      <c r="F230" s="9">
        <f>D230-1.5</f>
        <v/>
      </c>
      <c r="G230" s="25" t="n">
        <v>21.14</v>
      </c>
      <c r="H230" s="6">
        <f>IF(OR(K230&gt;E230,K230&lt;F230),"FAIL","PASS")</f>
        <v/>
      </c>
      <c r="I230" s="7">
        <f>IF(G230&gt;300,G230-360-D230,G230-D230)</f>
        <v/>
      </c>
      <c r="J230" s="8">
        <f>IF(G230&gt;300,G230-360,0)</f>
        <v/>
      </c>
      <c r="K230" s="8">
        <f>IF(J230=0,G230,J230)</f>
        <v/>
      </c>
    </row>
    <row r="231" ht="15" customHeight="1">
      <c r="A231" s="12" t="n">
        <v>144</v>
      </c>
      <c r="B231" s="12" t="n">
        <v>334</v>
      </c>
      <c r="C231" s="12" t="n">
        <v>147</v>
      </c>
      <c r="D231" s="5" t="n">
        <v>21.94</v>
      </c>
      <c r="E231" s="9">
        <f>D231+1.5</f>
        <v/>
      </c>
      <c r="F231" s="9">
        <f>D231-1.5</f>
        <v/>
      </c>
      <c r="G231" s="25" t="n">
        <v>21.77</v>
      </c>
      <c r="H231" s="6">
        <f>IF(OR(K231&gt;E231,K231&lt;F231),"FAIL","PASS")</f>
        <v/>
      </c>
      <c r="I231" s="7">
        <f>IF(G231&gt;300,G231-360-D231,G231-D231)</f>
        <v/>
      </c>
      <c r="J231" s="8">
        <f>IF(G231&gt;300,G231-360,0)</f>
        <v/>
      </c>
      <c r="K231" s="8">
        <f>IF(J231=0,G231,J231)</f>
        <v/>
      </c>
    </row>
    <row r="232" ht="15" customHeight="1">
      <c r="A232" s="12" t="n">
        <v>143</v>
      </c>
      <c r="B232" s="12" t="n">
        <v>331</v>
      </c>
      <c r="C232" s="12" t="n">
        <v>335</v>
      </c>
      <c r="D232" s="5" t="n">
        <v>22.59</v>
      </c>
      <c r="E232" s="9">
        <f>D232+1.5</f>
        <v/>
      </c>
      <c r="F232" s="9">
        <f>D232-1.5</f>
        <v/>
      </c>
      <c r="G232" s="25" t="n">
        <v>22.42</v>
      </c>
      <c r="H232" s="6">
        <f>IF(OR(K232&gt;E232,K232&lt;F232),"FAIL","PASS")</f>
        <v/>
      </c>
      <c r="I232" s="7">
        <f>IF(G232&gt;300,G232-360-D232,G232-D232)</f>
        <v/>
      </c>
      <c r="J232" s="8">
        <f>IF(G232&gt;300,G232-360,0)</f>
        <v/>
      </c>
      <c r="K232" s="8">
        <f>IF(J232=0,G232,J232)</f>
        <v/>
      </c>
    </row>
    <row r="233" ht="15" customHeight="1">
      <c r="A233" s="12" t="n">
        <v>142</v>
      </c>
      <c r="B233" s="12" t="n">
        <v>329</v>
      </c>
      <c r="C233" s="12" t="n">
        <v>164</v>
      </c>
      <c r="D233" s="5" t="n">
        <v>23.22</v>
      </c>
      <c r="E233" s="9">
        <f>D233+1.5</f>
        <v/>
      </c>
      <c r="F233" s="9">
        <f>D233-1.5</f>
        <v/>
      </c>
      <c r="G233" s="25" t="n">
        <v>23.06</v>
      </c>
      <c r="H233" s="6">
        <f>IF(OR(K233&gt;E233,K233&lt;F233),"FAIL","PASS")</f>
        <v/>
      </c>
      <c r="I233" s="7">
        <f>IF(G233&gt;300,G233-360-D233,G233-D233)</f>
        <v/>
      </c>
      <c r="J233" s="8">
        <f>IF(G233&gt;300,G233-360,0)</f>
        <v/>
      </c>
      <c r="K233" s="8">
        <f>IF(J233=0,G233,J233)</f>
        <v/>
      </c>
    </row>
    <row r="234" ht="15" customHeight="1">
      <c r="A234" s="12" t="n">
        <v>141</v>
      </c>
      <c r="B234" s="12" t="n">
        <v>326</v>
      </c>
      <c r="C234" s="12" t="n">
        <v>352</v>
      </c>
      <c r="D234" s="5" t="n">
        <v>23.9</v>
      </c>
      <c r="E234" s="9">
        <f>D234+1.5</f>
        <v/>
      </c>
      <c r="F234" s="9">
        <f>D234-1.5</f>
        <v/>
      </c>
      <c r="G234" s="25" t="n">
        <v>23.76</v>
      </c>
      <c r="H234" s="6">
        <f>IF(OR(K234&gt;E234,K234&lt;F234),"FAIL","PASS")</f>
        <v/>
      </c>
      <c r="I234" s="7">
        <f>IF(G234&gt;300,G234-360-D234,G234-D234)</f>
        <v/>
      </c>
      <c r="J234" s="8">
        <f>IF(G234&gt;300,G234-360,0)</f>
        <v/>
      </c>
      <c r="K234" s="8">
        <f>IF(J234=0,G234,J234)</f>
        <v/>
      </c>
    </row>
    <row r="235" ht="15" customHeight="1">
      <c r="A235" s="12" t="n">
        <v>140</v>
      </c>
      <c r="B235" s="12" t="n">
        <v>324</v>
      </c>
      <c r="C235" s="12" t="n">
        <v>180</v>
      </c>
      <c r="D235" s="5" t="n">
        <v>24.55</v>
      </c>
      <c r="E235" s="9">
        <f>D235+1.5</f>
        <v/>
      </c>
      <c r="F235" s="9">
        <f>D235-1.5</f>
        <v/>
      </c>
      <c r="G235" s="25" t="n">
        <v>24.42</v>
      </c>
      <c r="H235" s="6">
        <f>IF(OR(K235&gt;E235,K235&lt;F235),"FAIL","PASS")</f>
        <v/>
      </c>
      <c r="I235" s="7">
        <f>IF(G235&gt;300,G235-360-D235,G235-D235)</f>
        <v/>
      </c>
      <c r="J235" s="8">
        <f>IF(G235&gt;300,G235-360,0)</f>
        <v/>
      </c>
      <c r="K235" s="8">
        <f>IF(J235=0,G235,J235)</f>
        <v/>
      </c>
    </row>
    <row r="236" ht="15" customHeight="1">
      <c r="A236" s="12" t="n">
        <v>139</v>
      </c>
      <c r="B236" s="12" t="n">
        <v>322</v>
      </c>
      <c r="C236" s="12" t="n">
        <v>8</v>
      </c>
      <c r="D236" s="5" t="n">
        <v>25.18</v>
      </c>
      <c r="E236" s="9">
        <f>D236+1.5</f>
        <v/>
      </c>
      <c r="F236" s="9">
        <f>D236-1.5</f>
        <v/>
      </c>
      <c r="G236" s="25" t="n">
        <v>25.14</v>
      </c>
      <c r="H236" s="6">
        <f>IF(OR(K236&gt;E236,K236&lt;F236),"FAIL","PASS")</f>
        <v/>
      </c>
      <c r="I236" s="7">
        <f>IF(G236&gt;300,G236-360-D236,G236-D236)</f>
        <v/>
      </c>
      <c r="J236" s="8">
        <f>IF(G236&gt;300,G236-360,0)</f>
        <v/>
      </c>
      <c r="K236" s="8">
        <f>IF(J236=0,G236,J236)</f>
        <v/>
      </c>
    </row>
    <row r="237" ht="15" customHeight="1">
      <c r="A237" s="12" t="n">
        <v>138</v>
      </c>
      <c r="B237" s="12" t="n">
        <v>319</v>
      </c>
      <c r="C237" s="12" t="n">
        <v>197</v>
      </c>
      <c r="D237" s="5" t="n">
        <v>25.83</v>
      </c>
      <c r="E237" s="9">
        <f>D237+1.5</f>
        <v/>
      </c>
      <c r="F237" s="9">
        <f>D237-1.5</f>
        <v/>
      </c>
      <c r="G237" s="25" t="n">
        <v>25.8</v>
      </c>
      <c r="H237" s="6">
        <f>IF(OR(K237&gt;E237,K237&lt;F237),"FAIL","PASS")</f>
        <v/>
      </c>
      <c r="I237" s="7">
        <f>IF(G237&gt;300,G237-360-D237,G237-D237)</f>
        <v/>
      </c>
      <c r="J237" s="8">
        <f>IF(G237&gt;300,G237-360,0)</f>
        <v/>
      </c>
      <c r="K237" s="8">
        <f>IF(J237=0,G237,J237)</f>
        <v/>
      </c>
    </row>
    <row r="238" ht="15" customHeight="1">
      <c r="A238" s="12" t="n">
        <v>137</v>
      </c>
      <c r="B238" s="12" t="n">
        <v>317</v>
      </c>
      <c r="C238" s="12" t="n">
        <v>25</v>
      </c>
      <c r="D238" s="5" t="n">
        <v>26.51</v>
      </c>
      <c r="E238" s="9">
        <f>D238+1.5</f>
        <v/>
      </c>
      <c r="F238" s="9">
        <f>D238-1.5</f>
        <v/>
      </c>
      <c r="G238" s="25" t="n">
        <v>26.48</v>
      </c>
      <c r="H238" s="6">
        <f>IF(OR(K238&gt;E238,K238&lt;F238),"FAIL","PASS")</f>
        <v/>
      </c>
      <c r="I238" s="7">
        <f>IF(G238&gt;300,G238-360-D238,G238-D238)</f>
        <v/>
      </c>
      <c r="J238" s="8">
        <f>IF(G238&gt;300,G238-360,0)</f>
        <v/>
      </c>
      <c r="K238" s="8">
        <f>IF(J238=0,G238,J238)</f>
        <v/>
      </c>
    </row>
    <row r="239" ht="15" customHeight="1">
      <c r="A239" s="12" t="n">
        <v>136</v>
      </c>
      <c r="B239" s="12" t="n">
        <v>314</v>
      </c>
      <c r="C239" s="15" t="n">
        <v>213</v>
      </c>
      <c r="D239" s="5" t="n">
        <v>27.18</v>
      </c>
      <c r="E239" s="9">
        <f>D239+1.5</f>
        <v/>
      </c>
      <c r="F239" s="9">
        <f>D239-1.5</f>
        <v/>
      </c>
      <c r="G239" s="25" t="n">
        <v>27.13</v>
      </c>
      <c r="H239" s="6">
        <f>IF(OR(K239&gt;E239,K239&lt;F239),"FAIL","PASS")</f>
        <v/>
      </c>
      <c r="I239" s="7">
        <f>IF(G239&gt;300,G239-360-D239,G239-D239)</f>
        <v/>
      </c>
      <c r="J239" s="8">
        <f>IF(G239&gt;300,G239-360,0)</f>
        <v/>
      </c>
      <c r="K239" s="8">
        <f>IF(J239=0,G239,J239)</f>
        <v/>
      </c>
    </row>
    <row r="240" ht="15" customHeight="1">
      <c r="A240" s="12" t="n">
        <v>135</v>
      </c>
      <c r="B240" s="12" t="n">
        <v>312</v>
      </c>
      <c r="C240" s="12" t="n">
        <v>41</v>
      </c>
      <c r="D240" s="5" t="n">
        <v>27.83</v>
      </c>
      <c r="E240" s="9">
        <f>D240+1.5</f>
        <v/>
      </c>
      <c r="F240" s="9">
        <f>D240-1.5</f>
        <v/>
      </c>
      <c r="G240" s="25" t="n">
        <v>27.83</v>
      </c>
      <c r="H240" s="6">
        <f>IF(OR(K240&gt;E240,K240&lt;F240),"FAIL","PASS")</f>
        <v/>
      </c>
      <c r="I240" s="7">
        <f>IF(G240&gt;300,G240-360-D240,G240-D240)</f>
        <v/>
      </c>
      <c r="J240" s="8">
        <f>IF(G240&gt;300,G240-360,0)</f>
        <v/>
      </c>
      <c r="K240" s="8">
        <f>IF(J240=0,G240,J240)</f>
        <v/>
      </c>
    </row>
    <row r="241" ht="15" customHeight="1">
      <c r="A241" s="12" t="n">
        <v>134</v>
      </c>
      <c r="B241" s="12" t="n">
        <v>309</v>
      </c>
      <c r="C241" s="12" t="n">
        <v>230</v>
      </c>
      <c r="D241" s="5" t="n">
        <v>28.49</v>
      </c>
      <c r="E241" s="9">
        <f>D241+1.5</f>
        <v/>
      </c>
      <c r="F241" s="9">
        <f>D241-1.5</f>
        <v/>
      </c>
      <c r="G241" s="25" t="n">
        <v>28.44</v>
      </c>
      <c r="H241" s="6">
        <f>IF(OR(K241&gt;E241,K241&lt;F241),"FAIL","PASS")</f>
        <v/>
      </c>
      <c r="I241" s="7">
        <f>IF(G241&gt;300,G241-360-D241,G241-D241)</f>
        <v/>
      </c>
      <c r="J241" s="8">
        <f>IF(G241&gt;300,G241-360,0)</f>
        <v/>
      </c>
      <c r="K241" s="8">
        <f>IF(J241=0,G241,J241)</f>
        <v/>
      </c>
    </row>
    <row r="242" ht="15" customHeight="1">
      <c r="A242" s="12" t="n">
        <v>133</v>
      </c>
      <c r="B242" s="12" t="n">
        <v>307</v>
      </c>
      <c r="C242" s="12" t="n">
        <v>58</v>
      </c>
      <c r="D242" s="5" t="n">
        <v>29.15</v>
      </c>
      <c r="E242" s="9">
        <f>D242+1.5</f>
        <v/>
      </c>
      <c r="F242" s="9">
        <f>D242-1.5</f>
        <v/>
      </c>
      <c r="G242" s="25" t="n">
        <v>29.14</v>
      </c>
      <c r="H242" s="6">
        <f>IF(OR(K242&gt;E242,K242&lt;F242),"FAIL","PASS")</f>
        <v/>
      </c>
      <c r="I242" s="7">
        <f>IF(G242&gt;300,G242-360-D242,G242-D242)</f>
        <v/>
      </c>
      <c r="J242" s="8">
        <f>IF(G242&gt;300,G242-360,0)</f>
        <v/>
      </c>
      <c r="K242" s="8">
        <f>IF(J242=0,G242,J242)</f>
        <v/>
      </c>
    </row>
    <row r="243" ht="15" customHeight="1">
      <c r="A243" s="12" t="n">
        <v>132</v>
      </c>
      <c r="B243" s="12" t="n">
        <v>304</v>
      </c>
      <c r="C243" s="12" t="n">
        <v>246</v>
      </c>
      <c r="D243" s="5" t="n">
        <v>29.78</v>
      </c>
      <c r="E243" s="9">
        <f>D243+1.5</f>
        <v/>
      </c>
      <c r="F243" s="9">
        <f>D243-1.5</f>
        <v/>
      </c>
      <c r="G243" s="25" t="n">
        <v>29.73</v>
      </c>
      <c r="H243" s="6">
        <f>IF(OR(K243&gt;E243,K243&lt;F243),"FAIL","PASS")</f>
        <v/>
      </c>
      <c r="I243" s="7">
        <f>IF(G243&gt;300,G243-360-D243,G243-D243)</f>
        <v/>
      </c>
      <c r="J243" s="8">
        <f>IF(G243&gt;300,G243-360,0)</f>
        <v/>
      </c>
      <c r="K243" s="8">
        <f>IF(J243=0,G243,J243)</f>
        <v/>
      </c>
    </row>
    <row r="244" ht="12.75" customHeight="1">
      <c r="A244" s="15" t="n">
        <v>131</v>
      </c>
      <c r="B244" s="11" t="inlineStr">
        <is>
          <t xml:space="preserve">302
</t>
        </is>
      </c>
      <c r="C244" s="11" t="n">
        <v>74</v>
      </c>
      <c r="D244" s="5" t="n">
        <v>30.44</v>
      </c>
      <c r="E244" s="9">
        <f>D244+1.5</f>
        <v/>
      </c>
      <c r="F244" s="9">
        <f>D244-1.5</f>
        <v/>
      </c>
      <c r="G244" s="26" t="n">
        <v>30.4</v>
      </c>
      <c r="H244" s="6">
        <f>IF(OR(K244&gt;E244,K244&lt;F244),"FAIL","PASS")</f>
        <v/>
      </c>
      <c r="I244" s="7">
        <f>IF(G244&gt;300,G244-360-D244,G244-D244)</f>
        <v/>
      </c>
      <c r="J244" s="8">
        <f>IF(G244&gt;300,G244-360,0)</f>
        <v/>
      </c>
      <c r="K244" s="8">
        <f>IF(J244=0,G244,J244)</f>
        <v/>
      </c>
    </row>
    <row r="245" ht="15" customHeight="1">
      <c r="A245" s="11" t="n">
        <v>130</v>
      </c>
      <c r="B245" s="12" t="n">
        <v>299</v>
      </c>
      <c r="C245" s="12" t="n">
        <v>263</v>
      </c>
      <c r="D245" s="5" t="n">
        <v>31.1</v>
      </c>
      <c r="E245" s="9">
        <f>D245+1.5</f>
        <v/>
      </c>
      <c r="F245" s="9">
        <f>D245-1.5</f>
        <v/>
      </c>
      <c r="G245" s="26" t="n">
        <v>31.01</v>
      </c>
      <c r="H245" s="6">
        <f>IF(OR(K245&gt;E245,K245&lt;F245),"FAIL","PASS")</f>
        <v/>
      </c>
      <c r="I245" s="7">
        <f>IF(G245&gt;300,G245-360-D245,G245-D245)</f>
        <v/>
      </c>
      <c r="J245" s="8">
        <f>IF(G245&gt;300,G245-360,0)</f>
        <v/>
      </c>
      <c r="K245" s="8">
        <f>IF(J245=0,G245,J245)</f>
        <v/>
      </c>
    </row>
    <row r="246" ht="12.75" customHeight="1">
      <c r="A246" s="12" t="n">
        <v>129</v>
      </c>
      <c r="B246" s="12" t="n">
        <v>297</v>
      </c>
      <c r="C246" s="12" t="n">
        <v>91</v>
      </c>
      <c r="D246" s="5" t="n">
        <v>31.79</v>
      </c>
      <c r="E246" s="9">
        <f>D246+1.5</f>
        <v/>
      </c>
      <c r="F246" s="9">
        <f>D246-1.5</f>
        <v/>
      </c>
      <c r="G246" s="25" t="n">
        <v>31.62</v>
      </c>
      <c r="H246" s="6">
        <f>IF(OR(K246&gt;E246,K246&lt;F246),"FAIL","PASS")</f>
        <v/>
      </c>
      <c r="I246" s="7">
        <f>IF(G246&gt;300,G246-360-D246,G246-D246)</f>
        <v/>
      </c>
      <c r="J246" s="8">
        <f>IF(G246&gt;300,G246-360,0)</f>
        <v/>
      </c>
      <c r="K246" s="8">
        <f>IF(J246=0,G246,J246)</f>
        <v/>
      </c>
    </row>
    <row r="247" ht="15" customHeight="1">
      <c r="A247" s="12" t="n">
        <v>128</v>
      </c>
      <c r="B247" s="12" t="n">
        <v>294</v>
      </c>
      <c r="C247" s="12" t="n">
        <v>279</v>
      </c>
      <c r="D247" s="5" t="n">
        <v>32.46</v>
      </c>
      <c r="E247" s="9">
        <f>D247+1.5</f>
        <v/>
      </c>
      <c r="F247" s="9">
        <f>D247-1.5</f>
        <v/>
      </c>
      <c r="G247" s="25" t="n">
        <v>32.31</v>
      </c>
      <c r="H247" s="6">
        <f>IF(OR(K247&gt;E247,K247&lt;F247),"FAIL","PASS")</f>
        <v/>
      </c>
      <c r="I247" s="7">
        <f>IF(G247&gt;300,G247-360-D247,G247-D247)</f>
        <v/>
      </c>
      <c r="J247" s="8">
        <f>IF(G247&gt;300,G247-360,0)</f>
        <v/>
      </c>
      <c r="K247" s="8">
        <f>IF(J247=0,G247,J247)</f>
        <v/>
      </c>
    </row>
    <row r="248" ht="15" customHeight="1">
      <c r="A248" s="12" t="n">
        <v>127</v>
      </c>
      <c r="B248" s="12" t="n">
        <v>292</v>
      </c>
      <c r="C248" s="12" t="n">
        <v>107</v>
      </c>
      <c r="D248" s="5" t="n">
        <v>33.09</v>
      </c>
      <c r="E248" s="9">
        <f>D248+1.5</f>
        <v/>
      </c>
      <c r="F248" s="9">
        <f>D248-1.5</f>
        <v/>
      </c>
      <c r="G248" s="25" t="n">
        <v>32.93</v>
      </c>
      <c r="H248" s="6">
        <f>IF(OR(K248&gt;E248,K248&lt;F248),"FAIL","PASS")</f>
        <v/>
      </c>
      <c r="I248" s="7">
        <f>IF(G248&gt;300,G248-360-D248,G248-D248)</f>
        <v/>
      </c>
      <c r="J248" s="8">
        <f>IF(G248&gt;300,G248-360,0)</f>
        <v/>
      </c>
      <c r="K248" s="8">
        <f>IF(J248=0,G248,J248)</f>
        <v/>
      </c>
    </row>
    <row r="249" ht="15" customHeight="1">
      <c r="A249" s="12" t="n">
        <v>126</v>
      </c>
      <c r="B249" s="12" t="n">
        <v>289</v>
      </c>
      <c r="C249" s="12" t="n">
        <v>295</v>
      </c>
      <c r="D249" s="5" t="n">
        <v>33.8</v>
      </c>
      <c r="E249" s="9">
        <f>D249+1.5</f>
        <v/>
      </c>
      <c r="F249" s="9">
        <f>D249-1.5</f>
        <v/>
      </c>
      <c r="G249" s="25" t="n">
        <v>33.68</v>
      </c>
      <c r="H249" s="6">
        <f>IF(OR(K249&gt;E249,K249&lt;F249),"FAIL","PASS")</f>
        <v/>
      </c>
      <c r="I249" s="7">
        <f>IF(G249&gt;300,G249-360-D249,G249-D249)</f>
        <v/>
      </c>
      <c r="J249" s="8">
        <f>IF(G249&gt;300,G249-360,0)</f>
        <v/>
      </c>
      <c r="K249" s="8">
        <f>IF(J249=0,G249,J249)</f>
        <v/>
      </c>
    </row>
    <row r="250" ht="15" customHeight="1">
      <c r="A250" s="12" t="n">
        <v>125</v>
      </c>
      <c r="B250" s="12" t="n">
        <v>287</v>
      </c>
      <c r="C250" s="12" t="n">
        <v>124</v>
      </c>
      <c r="D250" s="5" t="n">
        <v>34.6</v>
      </c>
      <c r="E250" s="9">
        <f>D250+1.5</f>
        <v/>
      </c>
      <c r="F250" s="9">
        <f>D250-1.5</f>
        <v/>
      </c>
      <c r="G250" s="25" t="n">
        <v>34.47</v>
      </c>
      <c r="H250" s="6">
        <f>IF(OR(K250&gt;E250,K250&lt;F250),"FAIL","PASS")</f>
        <v/>
      </c>
      <c r="I250" s="7">
        <f>IF(G250&gt;300,G250-360-D250,G250-D250)</f>
        <v/>
      </c>
      <c r="J250" s="8">
        <f>IF(G250&gt;300,G250-360,0)</f>
        <v/>
      </c>
      <c r="K250" s="8">
        <f>IF(J250=0,G250,J250)</f>
        <v/>
      </c>
    </row>
    <row r="251" ht="15" customHeight="1">
      <c r="A251" s="12" t="n">
        <v>124</v>
      </c>
      <c r="B251" s="12" t="n">
        <v>284</v>
      </c>
      <c r="C251" s="12" t="n">
        <v>312</v>
      </c>
      <c r="D251" s="5" t="n">
        <v>35.24</v>
      </c>
      <c r="E251" s="9">
        <f>D251+1.5</f>
        <v/>
      </c>
      <c r="F251" s="9">
        <f>D251-1.5</f>
        <v/>
      </c>
      <c r="G251" s="25" t="n">
        <v>35.09</v>
      </c>
      <c r="H251" s="6">
        <f>IF(OR(K251&gt;E251,K251&lt;F251),"FAIL","PASS")</f>
        <v/>
      </c>
      <c r="I251" s="7">
        <f>IF(G251&gt;300,G251-360-D251,G251-D251)</f>
        <v/>
      </c>
      <c r="J251" s="8">
        <f>IF(G251&gt;300,G251-360,0)</f>
        <v/>
      </c>
      <c r="K251" s="8">
        <f>IF(J251=0,G251,J251)</f>
        <v/>
      </c>
    </row>
    <row r="252" ht="15" customHeight="1">
      <c r="A252" s="12" t="n">
        <v>123</v>
      </c>
      <c r="B252" s="12" t="n">
        <v>282</v>
      </c>
      <c r="C252" s="12" t="n">
        <v>140</v>
      </c>
      <c r="D252" s="5" t="n">
        <v>35.79</v>
      </c>
      <c r="E252" s="9">
        <f>D252+1.5</f>
        <v/>
      </c>
      <c r="F252" s="9">
        <f>D252-1.5</f>
        <v/>
      </c>
      <c r="G252" s="25" t="n">
        <v>35.65</v>
      </c>
      <c r="H252" s="6">
        <f>IF(OR(K252&gt;E252,K252&lt;F252),"FAIL","PASS")</f>
        <v/>
      </c>
      <c r="I252" s="7">
        <f>IF(G252&gt;300,G252-360-D252,G252-D252)</f>
        <v/>
      </c>
      <c r="J252" s="8">
        <f>IF(G252&gt;300,G252-360,0)</f>
        <v/>
      </c>
      <c r="K252" s="8">
        <f>IF(J252=0,G252,J252)</f>
        <v/>
      </c>
    </row>
    <row r="253" ht="15" customHeight="1">
      <c r="A253" s="12" t="n">
        <v>122</v>
      </c>
      <c r="B253" s="12" t="n">
        <v>279</v>
      </c>
      <c r="C253" s="12" t="n">
        <v>328</v>
      </c>
      <c r="D253" s="5" t="n">
        <v>36.37</v>
      </c>
      <c r="E253" s="9">
        <f>D253+1.5</f>
        <v/>
      </c>
      <c r="F253" s="9">
        <f>D253-1.5</f>
        <v/>
      </c>
      <c r="G253" s="25" t="n">
        <v>36.06</v>
      </c>
      <c r="H253" s="6">
        <f>IF(OR(K253&gt;E253,K253&lt;F253),"FAIL","PASS")</f>
        <v/>
      </c>
      <c r="I253" s="7">
        <f>IF(G253&gt;300,G253-360-D253,G253-D253)</f>
        <v/>
      </c>
      <c r="J253" s="8">
        <f>IF(G253&gt;300,G253-360,0)</f>
        <v/>
      </c>
      <c r="K253" s="8">
        <f>IF(J253=0,G253,J253)</f>
        <v/>
      </c>
    </row>
    <row r="254" ht="15" customHeight="1">
      <c r="A254" s="12" t="n">
        <v>121</v>
      </c>
      <c r="B254" s="12" t="n">
        <v>276</v>
      </c>
      <c r="C254" s="12" t="n">
        <v>238</v>
      </c>
      <c r="D254" s="5" t="n">
        <v>37</v>
      </c>
      <c r="E254" s="9">
        <f>D254+1.5</f>
        <v/>
      </c>
      <c r="F254" s="9">
        <f>D254-1.5</f>
        <v/>
      </c>
      <c r="G254" s="25" t="n">
        <v>36.66</v>
      </c>
      <c r="H254" s="6">
        <f>IF(OR(K254&gt;E254,K254&lt;F254),"FAIL","PASS")</f>
        <v/>
      </c>
      <c r="I254" s="7">
        <f>IF(G254&gt;300,G254-360-D254,G254-D254)</f>
        <v/>
      </c>
      <c r="J254" s="8">
        <f>IF(G254&gt;300,G254-360,0)</f>
        <v/>
      </c>
      <c r="K254" s="8">
        <f>IF(J254=0,G254,J254)</f>
        <v/>
      </c>
    </row>
    <row r="255" ht="15" customHeight="1">
      <c r="A255" s="12" t="n">
        <v>120</v>
      </c>
      <c r="B255" s="12" t="n">
        <v>277</v>
      </c>
      <c r="C255" s="12" t="n">
        <v>157</v>
      </c>
      <c r="D255" s="5" t="n">
        <v>37.78</v>
      </c>
      <c r="E255" s="9">
        <f>D255+1.5</f>
        <v/>
      </c>
      <c r="F255" s="9">
        <f>D255-1.5</f>
        <v/>
      </c>
      <c r="G255" s="25" t="n">
        <v>37.58</v>
      </c>
      <c r="H255" s="6">
        <f>IF(OR(K255&gt;E255,K255&lt;F255),"FAIL","PASS")</f>
        <v/>
      </c>
      <c r="I255" s="7">
        <f>IF(G255&gt;300,G255-360-D255,G255-D255)</f>
        <v/>
      </c>
      <c r="J255" s="8">
        <f>IF(G255&gt;300,G255-360,0)</f>
        <v/>
      </c>
      <c r="K255" s="8">
        <f>IF(J255=0,G255,J255)</f>
        <v/>
      </c>
    </row>
    <row r="256" ht="15" customHeight="1">
      <c r="A256" s="12" t="n">
        <v>119</v>
      </c>
      <c r="B256" s="12" t="n">
        <v>274</v>
      </c>
      <c r="C256" s="12" t="n">
        <v>345</v>
      </c>
      <c r="D256" s="5" t="n">
        <v>40.14</v>
      </c>
      <c r="E256" s="9">
        <f>D256+1.5</f>
        <v/>
      </c>
      <c r="F256" s="9">
        <f>D256-1.5</f>
        <v/>
      </c>
      <c r="G256" s="25" t="n">
        <v>40.26</v>
      </c>
      <c r="H256" s="6">
        <f>IF(OR(K256&gt;E256,K256&lt;F256),"FAIL","PASS")</f>
        <v/>
      </c>
      <c r="I256" s="7">
        <f>IF(G256&gt;300,G256-360-D256,G256-D256)</f>
        <v/>
      </c>
      <c r="J256" s="8">
        <f>IF(G256&gt;300,G256-360,0)</f>
        <v/>
      </c>
      <c r="K256" s="8">
        <f>IF(J256=0,G256,J256)</f>
        <v/>
      </c>
    </row>
    <row r="257" ht="15" customHeight="1">
      <c r="A257" s="12" t="n">
        <v>118</v>
      </c>
      <c r="B257" s="12" t="n">
        <v>272</v>
      </c>
      <c r="C257" s="12" t="n">
        <v>173</v>
      </c>
      <c r="D257" s="5" t="n">
        <v>42.8</v>
      </c>
      <c r="E257" s="9">
        <f>D257+1.5</f>
        <v/>
      </c>
      <c r="F257" s="9">
        <f>D257-1.5</f>
        <v/>
      </c>
      <c r="G257" s="25" t="n">
        <v>42.87</v>
      </c>
      <c r="H257" s="6">
        <f>IF(OR(K257&gt;E257,K257&lt;F257),"FAIL","PASS")</f>
        <v/>
      </c>
      <c r="I257" s="7">
        <f>IF(G257&gt;300,G257-360-D257,G257-D257)</f>
        <v/>
      </c>
      <c r="J257" s="8">
        <f>IF(G257&gt;300,G257-360,0)</f>
        <v/>
      </c>
      <c r="K257" s="8">
        <f>IF(J257=0,G257,J257)</f>
        <v/>
      </c>
    </row>
    <row r="258" ht="15" customHeight="1">
      <c r="A258" s="15" t="n">
        <v>117</v>
      </c>
      <c r="B258" s="12" t="n">
        <v>270</v>
      </c>
      <c r="C258" s="12" t="n">
        <v>1</v>
      </c>
      <c r="D258" s="5" t="n">
        <v>45.53</v>
      </c>
      <c r="E258" s="9">
        <f>D258+1.5</f>
        <v/>
      </c>
      <c r="F258" s="9">
        <f>D258-1.5</f>
        <v/>
      </c>
      <c r="G258" s="25" t="n">
        <v>45.65</v>
      </c>
      <c r="H258" s="6">
        <f>IF(OR(K258&gt;E258,K258&lt;F258),"FAIL","PASS")</f>
        <v/>
      </c>
      <c r="I258" s="7">
        <f>IF(G258&gt;300,G258-360-D258,G258-D258)</f>
        <v/>
      </c>
      <c r="J258" s="8">
        <f>IF(G258&gt;300,G258-360,0)</f>
        <v/>
      </c>
      <c r="K258" s="8">
        <f>IF(J258=0,G258,J258)</f>
        <v/>
      </c>
    </row>
    <row r="259" ht="15" customHeight="1">
      <c r="A259" s="12" t="n">
        <v>116</v>
      </c>
      <c r="B259" s="12" t="n">
        <v>267</v>
      </c>
      <c r="C259" s="12" t="n">
        <v>190</v>
      </c>
      <c r="D259" s="5" t="n">
        <v>48.71</v>
      </c>
      <c r="E259" s="9">
        <f>D259+1.5</f>
        <v/>
      </c>
      <c r="F259" s="9">
        <f>D259-1.5</f>
        <v/>
      </c>
      <c r="G259" s="25" t="n">
        <v>48.93</v>
      </c>
      <c r="H259" s="6">
        <f>IF(OR(K259&gt;E259,K259&lt;F259),"FAIL","PASS")</f>
        <v/>
      </c>
      <c r="I259" s="7">
        <f>IF(G259&gt;300,G259-360-D259,G259-D259)</f>
        <v/>
      </c>
      <c r="J259" s="8">
        <f>IF(G259&gt;300,G259-360,0)</f>
        <v/>
      </c>
      <c r="K259" s="8">
        <f>IF(J259=0,G259,J259)</f>
        <v/>
      </c>
    </row>
    <row r="260" ht="15" customHeight="1">
      <c r="A260" s="12" t="n">
        <v>115</v>
      </c>
      <c r="B260" s="12" t="n">
        <v>265</v>
      </c>
      <c r="C260" s="12" t="n">
        <v>18</v>
      </c>
      <c r="D260" s="5" t="n">
        <v>52.21</v>
      </c>
      <c r="E260" s="9">
        <f>D260+1.5</f>
        <v/>
      </c>
      <c r="F260" s="9">
        <f>D260-1.5</f>
        <v/>
      </c>
      <c r="G260" s="25" t="n">
        <v>52.46</v>
      </c>
      <c r="H260" s="6">
        <f>IF(OR(K260&gt;E260,K260&lt;F260),"FAIL","PASS")</f>
        <v/>
      </c>
      <c r="I260" s="7">
        <f>IF(G260&gt;300,G260-360-D260,G260-D260)</f>
        <v/>
      </c>
      <c r="J260" s="8">
        <f>IF(G260&gt;300,G260-360,0)</f>
        <v/>
      </c>
      <c r="K260" s="8">
        <f>IF(J260=0,G260,J260)</f>
        <v/>
      </c>
    </row>
    <row r="261" ht="15" customHeight="1">
      <c r="A261" s="12" t="n">
        <v>114</v>
      </c>
      <c r="B261" s="12" t="n">
        <v>262</v>
      </c>
      <c r="C261" s="12" t="n">
        <v>206</v>
      </c>
      <c r="D261" s="5" t="n">
        <v>55.54</v>
      </c>
      <c r="E261" s="9">
        <f>D261+1.5</f>
        <v/>
      </c>
      <c r="F261" s="9">
        <f>D261-1.5</f>
        <v/>
      </c>
      <c r="G261" s="25" t="n">
        <v>55.72</v>
      </c>
      <c r="H261" s="6">
        <f>IF(OR(K261&gt;E261,K261&lt;F261),"FAIL","PASS")</f>
        <v/>
      </c>
      <c r="I261" s="7">
        <f>IF(G261&gt;300,G261-360-D261,G261-D261)</f>
        <v/>
      </c>
      <c r="J261" s="8">
        <f>IF(G261&gt;300,G261-360,0)</f>
        <v/>
      </c>
      <c r="K261" s="8">
        <f>IF(J261=0,G261,J261)</f>
        <v/>
      </c>
    </row>
    <row r="262" ht="15" customHeight="1">
      <c r="A262" s="12" t="n">
        <v>113</v>
      </c>
      <c r="B262" s="12" t="n">
        <v>260</v>
      </c>
      <c r="C262" s="12" t="n">
        <v>34</v>
      </c>
      <c r="D262" s="5" t="n">
        <v>58.76</v>
      </c>
      <c r="E262" s="9">
        <f>D262+1.5</f>
        <v/>
      </c>
      <c r="F262" s="9">
        <f>D262-1.5</f>
        <v/>
      </c>
      <c r="G262" s="25" t="n">
        <v>58.82</v>
      </c>
      <c r="H262" s="6">
        <f>IF(OR(K262&gt;E262,K262&lt;F262),"FAIL","PASS")</f>
        <v/>
      </c>
      <c r="I262" s="7">
        <f>IF(G262&gt;300,G262-360-D262,G262-D262)</f>
        <v/>
      </c>
      <c r="J262" s="8">
        <f>IF(G262&gt;300,G262-360,0)</f>
        <v/>
      </c>
      <c r="K262" s="8">
        <f>IF(J262=0,G262,J262)</f>
        <v/>
      </c>
    </row>
    <row r="263" ht="15" customHeight="1">
      <c r="A263" s="12" t="n">
        <v>112</v>
      </c>
      <c r="B263" s="12" t="n">
        <v>257</v>
      </c>
      <c r="C263" s="12" t="n">
        <v>223</v>
      </c>
      <c r="D263" s="5" t="n">
        <v>61.54</v>
      </c>
      <c r="E263" s="9">
        <f>D263+1.5</f>
        <v/>
      </c>
      <c r="F263" s="9">
        <f>D263-1.5</f>
        <v/>
      </c>
      <c r="G263" s="25" t="n">
        <v>61.59</v>
      </c>
      <c r="H263" s="6">
        <f>IF(OR(K263&gt;E263,K263&lt;F263),"FAIL","PASS")</f>
        <v/>
      </c>
      <c r="I263" s="7">
        <f>IF(G263&gt;300,G263-360-D263,G263-D263)</f>
        <v/>
      </c>
      <c r="J263" s="8">
        <f>IF(G263&gt;300,G263-360,0)</f>
        <v/>
      </c>
      <c r="K263" s="8">
        <f>IF(J263=0,G263,J263)</f>
        <v/>
      </c>
    </row>
    <row r="264" ht="15" customHeight="1">
      <c r="A264" s="12" t="n">
        <v>111</v>
      </c>
      <c r="B264" s="12" t="n">
        <v>255</v>
      </c>
      <c r="C264" s="12" t="n">
        <v>51</v>
      </c>
      <c r="D264" s="5" t="n">
        <v>64.09999999999999</v>
      </c>
      <c r="E264" s="9">
        <f>D264+1.5</f>
        <v/>
      </c>
      <c r="F264" s="9">
        <f>D264-1.5</f>
        <v/>
      </c>
      <c r="G264" s="25" t="n">
        <v>64.06</v>
      </c>
      <c r="H264" s="6">
        <f>IF(OR(K264&gt;E264,K264&lt;F264),"FAIL","PASS")</f>
        <v/>
      </c>
      <c r="I264" s="7">
        <f>IF(G264&gt;300,G264-360-D264,G264-D264)</f>
        <v/>
      </c>
      <c r="J264" s="8">
        <f>IF(G264&gt;300,G264-360,0)</f>
        <v/>
      </c>
      <c r="K264" s="8">
        <f>IF(J264=0,G264,J264)</f>
        <v/>
      </c>
    </row>
    <row r="265" ht="15" customHeight="1">
      <c r="A265" s="12" t="n">
        <v>110</v>
      </c>
      <c r="B265" s="12" t="n">
        <v>252</v>
      </c>
      <c r="C265" s="12" t="n">
        <v>239</v>
      </c>
      <c r="D265" s="5" t="n">
        <v>66.64</v>
      </c>
      <c r="E265" s="9">
        <f>D265+1.5</f>
        <v/>
      </c>
      <c r="F265" s="9">
        <f>D265-1.5</f>
        <v/>
      </c>
      <c r="G265" s="25" t="n">
        <v>66.59</v>
      </c>
      <c r="H265" s="6">
        <f>IF(OR(K265&gt;E265,K265&lt;F265),"FAIL","PASS")</f>
        <v/>
      </c>
      <c r="I265" s="7">
        <f>IF(G265&gt;300,G265-360-D265,G265-D265)</f>
        <v/>
      </c>
      <c r="J265" s="8">
        <f>IF(G265&gt;300,G265-360,0)</f>
        <v/>
      </c>
      <c r="K265" s="8">
        <f>IF(J265=0,G265,J265)</f>
        <v/>
      </c>
    </row>
    <row r="266" ht="15" customHeight="1">
      <c r="A266" s="12" t="n">
        <v>109</v>
      </c>
      <c r="B266" s="12" t="n">
        <v>250</v>
      </c>
      <c r="C266" s="12" t="n">
        <v>67</v>
      </c>
      <c r="D266" s="5" t="n">
        <v>69.14</v>
      </c>
      <c r="E266" s="9">
        <f>D266+1.5</f>
        <v/>
      </c>
      <c r="F266" s="9">
        <f>D266-1.5</f>
        <v/>
      </c>
      <c r="G266" s="25" t="n">
        <v>69.08</v>
      </c>
      <c r="H266" s="6">
        <f>IF(OR(K266&gt;E266,K266&lt;F266),"FAIL","PASS")</f>
        <v/>
      </c>
      <c r="I266" s="7">
        <f>IF(G266&gt;300,G266-360-D266,G266-D266)</f>
        <v/>
      </c>
      <c r="J266" s="8">
        <f>IF(G266&gt;300,G266-360,0)</f>
        <v/>
      </c>
      <c r="K266" s="8">
        <f>IF(J266=0,G266,J266)</f>
        <v/>
      </c>
    </row>
    <row r="267" ht="15" customHeight="1">
      <c r="A267" s="12" t="n">
        <v>108</v>
      </c>
      <c r="B267" s="12" t="n">
        <v>247</v>
      </c>
      <c r="C267" s="12" t="n">
        <v>256</v>
      </c>
      <c r="D267" s="5" t="n">
        <v>71.59</v>
      </c>
      <c r="E267" s="9">
        <f>D267+1.5</f>
        <v/>
      </c>
      <c r="F267" s="9">
        <f>D267-1.5</f>
        <v/>
      </c>
      <c r="G267" s="25" t="n">
        <v>71.48</v>
      </c>
      <c r="H267" s="6">
        <f>IF(OR(K267&gt;E267,K267&lt;F267),"FAIL","PASS")</f>
        <v/>
      </c>
      <c r="I267" s="7">
        <f>IF(G267&gt;300,G267-360-D267,G267-D267)</f>
        <v/>
      </c>
      <c r="J267" s="8">
        <f>IF(G267&gt;300,G267-360,0)</f>
        <v/>
      </c>
      <c r="K267" s="8">
        <f>IF(J267=0,G267,J267)</f>
        <v/>
      </c>
    </row>
    <row r="268" ht="15" customHeight="1">
      <c r="A268" s="12" t="n">
        <v>107</v>
      </c>
      <c r="B268" s="12" t="n">
        <v>245</v>
      </c>
      <c r="C268" s="12" t="n">
        <v>84</v>
      </c>
      <c r="D268" s="5" t="n">
        <v>74.06</v>
      </c>
      <c r="E268" s="9">
        <f>D268+1.5</f>
        <v/>
      </c>
      <c r="F268" s="9">
        <f>D268-1.5</f>
        <v/>
      </c>
      <c r="G268" s="25" t="n">
        <v>73.88</v>
      </c>
      <c r="H268" s="6">
        <f>IF(OR(K268&gt;E268,K268&lt;F268),"FAIL","PASS")</f>
        <v/>
      </c>
      <c r="I268" s="7">
        <f>IF(G268&gt;300,G268-360-D268,G268-D268)</f>
        <v/>
      </c>
      <c r="J268" s="8">
        <f>IF(G268&gt;300,G268-360,0)</f>
        <v/>
      </c>
      <c r="K268" s="8">
        <f>IF(J268=0,G268,J268)</f>
        <v/>
      </c>
    </row>
    <row r="269" ht="15" customHeight="1">
      <c r="A269" s="12" t="n">
        <v>106</v>
      </c>
      <c r="B269" s="12" t="n">
        <v>243</v>
      </c>
      <c r="C269" s="12" t="n">
        <v>74</v>
      </c>
      <c r="D269" s="5" t="n">
        <v>76</v>
      </c>
      <c r="E269" s="9">
        <f>D269+1.5</f>
        <v/>
      </c>
      <c r="F269" s="9">
        <f>D269-1.5</f>
        <v/>
      </c>
      <c r="G269" s="25" t="n">
        <v>75.89</v>
      </c>
      <c r="H269" s="6">
        <f>IF(OR(K269&gt;E269,K269&lt;F269),"FAIL","PASS")</f>
        <v/>
      </c>
      <c r="I269" s="7">
        <f>IF(G269&gt;300,G269-360-D269,G269-D269)</f>
        <v/>
      </c>
      <c r="J269" s="8">
        <f>IF(G269&gt;300,G269-360,0)</f>
        <v/>
      </c>
      <c r="K269" s="8">
        <f>IF(J269=0,G269,J269)</f>
        <v/>
      </c>
    </row>
    <row r="270" ht="15" customHeight="1">
      <c r="A270" s="12" t="n">
        <v>105</v>
      </c>
      <c r="B270" s="15" t="n">
        <v>242</v>
      </c>
      <c r="C270" s="11" t="n">
        <v>272</v>
      </c>
      <c r="D270" s="5" t="n">
        <v>76.54000000000001</v>
      </c>
      <c r="E270" s="9">
        <f>D270+1.5</f>
        <v/>
      </c>
      <c r="F270" s="9">
        <f>D270-1.5</f>
        <v/>
      </c>
      <c r="G270" s="25" t="n">
        <v>76.3</v>
      </c>
      <c r="H270" s="6">
        <f>IF(OR(K270&gt;E270,K270&lt;F270),"FAIL","PASS")</f>
        <v/>
      </c>
      <c r="I270" s="7">
        <f>IF(G270&gt;300,G270-360-D270,G270-D270)</f>
        <v/>
      </c>
      <c r="J270" s="8">
        <f>IF(G270&gt;300,G270-360,0)</f>
        <v/>
      </c>
      <c r="K270" s="8">
        <f>IF(J270=0,G270,J270)</f>
        <v/>
      </c>
    </row>
    <row r="271" ht="15" customHeight="1">
      <c r="A271" s="12" t="n">
        <v>104</v>
      </c>
      <c r="B271" s="12" t="n">
        <v>240</v>
      </c>
      <c r="C271" s="12" t="n">
        <v>100</v>
      </c>
      <c r="D271" s="5" t="n">
        <v>78.87</v>
      </c>
      <c r="E271" s="9">
        <f>D271+1.5</f>
        <v/>
      </c>
      <c r="F271" s="9">
        <f>D271-1.5</f>
        <v/>
      </c>
      <c r="G271" s="25" t="n">
        <v>78.56</v>
      </c>
      <c r="H271" s="6">
        <f>IF(OR(K271&gt;E271,K271&lt;F271),"FAIL","PASS")</f>
        <v/>
      </c>
      <c r="I271" s="7">
        <f>IF(G271&gt;300,G271-360-D271,G271-D271)</f>
        <v/>
      </c>
      <c r="J271" s="8">
        <f>IF(G271&gt;300,G271-360,0)</f>
        <v/>
      </c>
      <c r="K271" s="8">
        <f>IF(J271=0,G271,J271)</f>
        <v/>
      </c>
    </row>
    <row r="272" ht="15" customHeight="1">
      <c r="A272" s="12" t="n">
        <v>103</v>
      </c>
      <c r="B272" s="12" t="n">
        <v>237</v>
      </c>
      <c r="C272" s="12" t="n">
        <v>289</v>
      </c>
      <c r="D272" s="5" t="n">
        <v>81.28</v>
      </c>
      <c r="E272" s="9">
        <f>D272+1.5</f>
        <v/>
      </c>
      <c r="F272" s="9">
        <f>D272-1.5</f>
        <v/>
      </c>
      <c r="G272" s="25" t="n">
        <v>81</v>
      </c>
      <c r="H272" s="6">
        <f>IF(OR(K272&gt;E272,K272&lt;F272),"FAIL","PASS")</f>
        <v/>
      </c>
      <c r="I272" s="7">
        <f>IF(G272&gt;300,G272-360-D272,G272-D272)</f>
        <v/>
      </c>
      <c r="J272" s="8">
        <f>IF(G272&gt;300,G272-360,0)</f>
        <v/>
      </c>
      <c r="K272" s="8">
        <f>IF(J272=0,G272,J272)</f>
        <v/>
      </c>
    </row>
    <row r="273" ht="15" customHeight="1">
      <c r="A273" s="12" t="n">
        <v>102</v>
      </c>
      <c r="B273" s="12" t="n">
        <v>235</v>
      </c>
      <c r="C273" s="12" t="n">
        <v>117</v>
      </c>
      <c r="D273" s="5" t="n">
        <v>83.73999999999999</v>
      </c>
      <c r="E273" s="9">
        <f>D273+1.5</f>
        <v/>
      </c>
      <c r="F273" s="9">
        <f>D273-1.5</f>
        <v/>
      </c>
      <c r="G273" s="25" t="n">
        <v>83.39</v>
      </c>
      <c r="H273" s="6">
        <f>IF(OR(K273&gt;E273,K273&lt;F273),"FAIL","PASS")</f>
        <v/>
      </c>
      <c r="I273" s="7">
        <f>IF(G273&gt;300,G273-360-D273,G273-D273)</f>
        <v/>
      </c>
      <c r="J273" s="8">
        <f>IF(G273&gt;300,G273-360,0)</f>
        <v/>
      </c>
      <c r="K273" s="8">
        <f>IF(J273=0,G273,J273)</f>
        <v/>
      </c>
    </row>
    <row r="274" ht="15" customHeight="1">
      <c r="A274" s="12" t="n">
        <v>101</v>
      </c>
      <c r="B274" s="12" t="n">
        <v>232</v>
      </c>
      <c r="C274" s="12" t="n">
        <v>305</v>
      </c>
      <c r="D274" s="5" t="n">
        <v>86.11</v>
      </c>
      <c r="E274" s="9">
        <f>D274+1.5</f>
        <v/>
      </c>
      <c r="F274" s="9">
        <f>D274-1.5</f>
        <v/>
      </c>
      <c r="G274" s="25" t="n">
        <v>85.81</v>
      </c>
      <c r="H274" s="6">
        <f>IF(OR(K274&gt;E274,K274&lt;F274),"FAIL","PASS")</f>
        <v/>
      </c>
      <c r="I274" s="7">
        <f>IF(G274&gt;300,G274-360-D274,G274-D274)</f>
        <v/>
      </c>
      <c r="J274" s="8">
        <f>IF(G274&gt;300,G274-360,0)</f>
        <v/>
      </c>
      <c r="K274" s="8">
        <f>IF(J274=0,G274,J274)</f>
        <v/>
      </c>
    </row>
    <row r="275" ht="15" customHeight="1">
      <c r="A275" s="12" t="n">
        <v>100</v>
      </c>
      <c r="B275" s="12" t="n">
        <v>230</v>
      </c>
      <c r="C275" s="12" t="n">
        <v>133</v>
      </c>
      <c r="D275" s="5" t="n">
        <v>88.62</v>
      </c>
      <c r="E275" s="9">
        <f>D275+1.5</f>
        <v/>
      </c>
      <c r="F275" s="9">
        <f>D275-1.5</f>
        <v/>
      </c>
      <c r="G275" s="25" t="n">
        <v>88.37</v>
      </c>
      <c r="H275" s="6">
        <f>IF(OR(K275&gt;E275,K275&lt;F275),"FAIL","PASS")</f>
        <v/>
      </c>
      <c r="I275" s="7">
        <f>IF(G275&gt;300,G275-360-D275,G275-D275)</f>
        <v/>
      </c>
      <c r="J275" s="8">
        <f>IF(G275&gt;300,G275-360,0)</f>
        <v/>
      </c>
      <c r="K275" s="8">
        <f>IF(J275=0,G275,J275)</f>
        <v/>
      </c>
    </row>
    <row r="276" ht="15" customHeight="1">
      <c r="A276" s="12" t="n">
        <v>99</v>
      </c>
      <c r="B276" s="12" t="n">
        <v>227</v>
      </c>
      <c r="C276" s="12" t="n">
        <v>322</v>
      </c>
      <c r="D276" s="5" t="n">
        <v>91.36</v>
      </c>
      <c r="E276" s="9">
        <f>D276+1.5</f>
        <v/>
      </c>
      <c r="F276" s="9">
        <f>D276-1.5</f>
        <v/>
      </c>
      <c r="G276" s="25" t="n">
        <v>91.12</v>
      </c>
      <c r="H276" s="6">
        <f>IF(OR(K276&gt;E276,K276&lt;F276),"FAIL","PASS")</f>
        <v/>
      </c>
      <c r="I276" s="7">
        <f>IF(G276&gt;300,G276-360-D276,G276-D276)</f>
        <v/>
      </c>
      <c r="J276" s="8">
        <f>IF(G276&gt;300,G276-360,0)</f>
        <v/>
      </c>
      <c r="K276" s="8">
        <f>IF(J276=0,G276,J276)</f>
        <v/>
      </c>
    </row>
    <row r="277" ht="15" customHeight="1">
      <c r="A277" s="12" t="n">
        <v>98</v>
      </c>
      <c r="B277" s="12" t="n">
        <v>225</v>
      </c>
      <c r="C277" s="12" t="n">
        <v>150</v>
      </c>
      <c r="D277" s="5" t="n">
        <v>94.2</v>
      </c>
      <c r="E277" s="9">
        <f>D277+1.5</f>
        <v/>
      </c>
      <c r="F277" s="9">
        <f>D277-1.5</f>
        <v/>
      </c>
      <c r="G277" s="25" t="n">
        <v>93.88</v>
      </c>
      <c r="H277" s="6">
        <f>IF(OR(K277&gt;E277,K277&lt;F277),"FAIL","PASS")</f>
        <v/>
      </c>
      <c r="I277" s="7">
        <f>IF(G277&gt;300,G277-360-D277,G277-D277)</f>
        <v/>
      </c>
      <c r="J277" s="8">
        <f>IF(G277&gt;300,G277-360,0)</f>
        <v/>
      </c>
      <c r="K277" s="8">
        <f>IF(J277=0,G277,J277)</f>
        <v/>
      </c>
    </row>
    <row r="278" ht="15" customHeight="1">
      <c r="A278" s="12" t="n">
        <v>97</v>
      </c>
      <c r="B278" s="12" t="n">
        <v>222</v>
      </c>
      <c r="C278" s="12" t="n">
        <v>338</v>
      </c>
      <c r="D278" s="5" t="n">
        <v>96.90000000000001</v>
      </c>
      <c r="E278" s="9">
        <f>D278+1.5</f>
        <v/>
      </c>
      <c r="F278" s="9">
        <f>D278-1.5</f>
        <v/>
      </c>
      <c r="G278" s="25" t="n">
        <v>96.51000000000001</v>
      </c>
      <c r="H278" s="6">
        <f>IF(OR(K278&gt;E278,K278&lt;F278),"FAIL","PASS")</f>
        <v/>
      </c>
      <c r="I278" s="7">
        <f>IF(G278&gt;300,G278-360-D278,G278-D278)</f>
        <v/>
      </c>
      <c r="J278" s="8">
        <f>IF(G278&gt;300,G278-360,0)</f>
        <v/>
      </c>
      <c r="K278" s="8">
        <f>IF(J278=0,G278,J278)</f>
        <v/>
      </c>
    </row>
    <row r="279" ht="15" customHeight="1">
      <c r="A279" s="12" t="n">
        <v>96</v>
      </c>
      <c r="B279" s="12" t="n">
        <v>220</v>
      </c>
      <c r="C279" s="12" t="n">
        <v>166</v>
      </c>
      <c r="D279" s="5" t="n">
        <v>99.62</v>
      </c>
      <c r="E279" s="9">
        <f>D279+1.5</f>
        <v/>
      </c>
      <c r="F279" s="9">
        <f>D279-1.5</f>
        <v/>
      </c>
      <c r="G279" s="25" t="n">
        <v>99.18000000000001</v>
      </c>
      <c r="H279" s="6">
        <f>IF(OR(K279&gt;E279,K279&lt;F279),"FAIL","PASS")</f>
        <v/>
      </c>
      <c r="I279" s="7">
        <f>IF(G279&gt;300,G279-360-D279,G279-D279)</f>
        <v/>
      </c>
      <c r="J279" s="8">
        <f>IF(G279&gt;300,G279-360,0)</f>
        <v/>
      </c>
      <c r="K279" s="8">
        <f>IF(J279=0,G279,J279)</f>
        <v/>
      </c>
    </row>
    <row r="280" ht="15" customHeight="1">
      <c r="A280" s="12" t="n">
        <v>95</v>
      </c>
      <c r="B280" s="12" t="n">
        <v>217</v>
      </c>
      <c r="C280" s="12" t="n">
        <v>355</v>
      </c>
      <c r="D280" s="5" t="n">
        <v>102.3</v>
      </c>
      <c r="E280" s="9">
        <f>D280+1.5</f>
        <v/>
      </c>
      <c r="F280" s="9">
        <f>D280-1.5</f>
        <v/>
      </c>
      <c r="G280" s="25" t="n">
        <v>101.76</v>
      </c>
      <c r="H280" s="6">
        <f>IF(OR(K280&gt;E280,K280&lt;F280),"FAIL","PASS")</f>
        <v/>
      </c>
      <c r="I280" s="7">
        <f>IF(G280&gt;300,G280-360-D280,G280-D280)</f>
        <v/>
      </c>
      <c r="J280" s="8">
        <f>IF(G280&gt;300,G280-360,0)</f>
        <v/>
      </c>
      <c r="K280" s="8">
        <f>IF(J280=0,G280,J280)</f>
        <v/>
      </c>
    </row>
    <row r="281" ht="15" customHeight="1">
      <c r="A281" s="12" t="n">
        <v>94</v>
      </c>
      <c r="B281" s="15" t="n">
        <v>215</v>
      </c>
      <c r="C281" s="12" t="n">
        <v>183</v>
      </c>
      <c r="D281" s="5" t="n">
        <v>104.97</v>
      </c>
      <c r="E281" s="9">
        <f>D281+1.5</f>
        <v/>
      </c>
      <c r="F281" s="9">
        <f>D281-1.5</f>
        <v/>
      </c>
      <c r="G281" s="25" t="n">
        <v>104.48</v>
      </c>
      <c r="H281" s="6">
        <f>IF(OR(K281&gt;E281,K281&lt;F281),"FAIL","PASS")</f>
        <v/>
      </c>
      <c r="I281" s="7">
        <f>IF(G281&gt;300,G281-360-D281,G281-D281)</f>
        <v/>
      </c>
      <c r="J281" s="8">
        <f>IF(G281&gt;300,G281-360,0)</f>
        <v/>
      </c>
      <c r="K281" s="8">
        <f>IF(J281=0,G281,J281)</f>
        <v/>
      </c>
    </row>
    <row r="282" ht="15" customHeight="1">
      <c r="A282" s="12" t="n">
        <v>93</v>
      </c>
      <c r="B282" s="12" t="n">
        <v>213</v>
      </c>
      <c r="C282" s="12" t="n">
        <v>11</v>
      </c>
      <c r="D282" s="5" t="n">
        <v>107.62</v>
      </c>
      <c r="E282" s="9">
        <f>D282+1.5</f>
        <v/>
      </c>
      <c r="F282" s="9">
        <f>D282-1.5</f>
        <v/>
      </c>
      <c r="G282" s="25" t="n">
        <v>107.25</v>
      </c>
      <c r="H282" s="6">
        <f>IF(OR(K282&gt;E282,K282&lt;F282),"FAIL","PASS")</f>
        <v/>
      </c>
      <c r="I282" s="7">
        <f>IF(G282&gt;300,G282-360-D282,G282-D282)</f>
        <v/>
      </c>
      <c r="J282" s="8">
        <f>IF(G282&gt;300,G282-360,0)</f>
        <v/>
      </c>
      <c r="K282" s="8">
        <f>IF(J282=0,G282,J282)</f>
        <v/>
      </c>
    </row>
    <row r="283" ht="15" customHeight="1">
      <c r="A283" s="12" t="n">
        <v>92</v>
      </c>
      <c r="B283" s="12" t="n">
        <v>210</v>
      </c>
      <c r="C283" s="12" t="n">
        <v>199</v>
      </c>
      <c r="D283" s="5" t="n">
        <v>110.26</v>
      </c>
      <c r="E283" s="9">
        <f>D283+1.5</f>
        <v/>
      </c>
      <c r="F283" s="9">
        <f>D283-1.5</f>
        <v/>
      </c>
      <c r="G283" s="25" t="n">
        <v>109.91</v>
      </c>
      <c r="H283" s="6">
        <f>IF(OR(K283&gt;E283,K283&lt;F283),"FAIL","PASS")</f>
        <v/>
      </c>
      <c r="I283" s="7">
        <f>IF(G283&gt;300,G283-360-D283,G283-D283)</f>
        <v/>
      </c>
      <c r="J283" s="8">
        <f>IF(G283&gt;300,G283-360,0)</f>
        <v/>
      </c>
      <c r="K283" s="8">
        <f>IF(J283=0,G283,J283)</f>
        <v/>
      </c>
    </row>
    <row r="284" ht="15" customHeight="1">
      <c r="A284" s="12" t="n">
        <v>91</v>
      </c>
      <c r="B284" s="12" t="n">
        <v>208</v>
      </c>
      <c r="C284" s="12" t="n">
        <v>28</v>
      </c>
      <c r="D284" s="5" t="n">
        <v>112.67</v>
      </c>
      <c r="E284" s="9">
        <f>D284+1.5</f>
        <v/>
      </c>
      <c r="F284" s="9">
        <f>D284-1.5</f>
        <v/>
      </c>
      <c r="G284" s="25" t="n">
        <v>112.27</v>
      </c>
      <c r="H284" s="6">
        <f>IF(OR(K284&gt;E284,K284&lt;F284),"FAIL","PASS")</f>
        <v/>
      </c>
      <c r="I284" s="7">
        <f>IF(G284&gt;300,G284-360-D284,G284-D284)</f>
        <v/>
      </c>
      <c r="J284" s="8">
        <f>IF(G284&gt;300,G284-360,0)</f>
        <v/>
      </c>
      <c r="K284" s="8">
        <f>IF(J284=0,G284,J284)</f>
        <v/>
      </c>
    </row>
    <row r="285" ht="15" customHeight="1">
      <c r="A285" s="12" t="n">
        <v>90</v>
      </c>
      <c r="B285" s="12" t="n">
        <v>207</v>
      </c>
      <c r="C285" s="12" t="n">
        <v>283</v>
      </c>
      <c r="D285" s="5" t="n">
        <v>113</v>
      </c>
      <c r="E285" s="9">
        <f>D285+1.5</f>
        <v/>
      </c>
      <c r="F285" s="9">
        <f>D285-1.5</f>
        <v/>
      </c>
      <c r="G285" s="25" t="n">
        <v>112.55</v>
      </c>
      <c r="H285" s="6">
        <f>IF(OR(K285&gt;E285,K285&lt;F285),"FAIL","PASS")</f>
        <v/>
      </c>
      <c r="I285" s="7">
        <f>IF(G285&gt;300,G285-360-D285,G285-D285)</f>
        <v/>
      </c>
      <c r="J285" s="8">
        <f>IF(G285&gt;300,G285-360,0)</f>
        <v/>
      </c>
      <c r="K285" s="8">
        <f>IF(J285=0,G285,J285)</f>
        <v/>
      </c>
    </row>
    <row r="286" ht="15" customHeight="1">
      <c r="A286" s="12" t="n">
        <v>89</v>
      </c>
      <c r="B286" s="12" t="n">
        <v>205</v>
      </c>
      <c r="C286" s="12" t="n">
        <v>216</v>
      </c>
      <c r="D286" s="5" t="n">
        <v>115.13</v>
      </c>
      <c r="E286" s="9">
        <f>D286+1.5</f>
        <v/>
      </c>
      <c r="F286" s="9">
        <f>D286-1.5</f>
        <v/>
      </c>
      <c r="G286" s="25" t="n">
        <v>114.7</v>
      </c>
      <c r="H286" s="6">
        <f>IF(OR(K286&gt;E286,K286&lt;F286),"FAIL","PASS")</f>
        <v/>
      </c>
      <c r="I286" s="7">
        <f>IF(G286&gt;300,G286-360-D286,G286-D286)</f>
        <v/>
      </c>
      <c r="J286" s="8">
        <f>IF(G286&gt;300,G286-360,0)</f>
        <v/>
      </c>
      <c r="K286" s="8">
        <f>IF(J286=0,G286,J286)</f>
        <v/>
      </c>
    </row>
    <row r="287" ht="15" customHeight="1">
      <c r="A287" s="12" t="n">
        <v>88</v>
      </c>
      <c r="B287" s="12" t="n">
        <v>203</v>
      </c>
      <c r="C287" s="12" t="n">
        <v>44</v>
      </c>
      <c r="D287" s="5" t="n">
        <v>117.51</v>
      </c>
      <c r="E287" s="9">
        <f>D287+1.5</f>
        <v/>
      </c>
      <c r="F287" s="9">
        <f>D287-1.5</f>
        <v/>
      </c>
      <c r="G287" s="25" t="n">
        <v>116.96</v>
      </c>
      <c r="H287" s="6">
        <f>IF(OR(K287&gt;E287,K287&lt;F287),"FAIL","PASS")</f>
        <v/>
      </c>
      <c r="I287" s="7">
        <f>IF(G287&gt;300,G287-360-D287,G287-D287)</f>
        <v/>
      </c>
      <c r="J287" s="8">
        <f>IF(G287&gt;300,G287-360,0)</f>
        <v/>
      </c>
      <c r="K287" s="8">
        <f>IF(J287=0,G287,J287)</f>
        <v/>
      </c>
    </row>
    <row r="288" ht="15" customHeight="1">
      <c r="A288" s="12" t="n">
        <v>87</v>
      </c>
      <c r="B288" s="12" t="n">
        <v>200</v>
      </c>
      <c r="C288" s="12" t="n">
        <v>252</v>
      </c>
      <c r="D288" s="5" t="n">
        <v>119.89</v>
      </c>
      <c r="E288" s="9">
        <f>D288+1.5</f>
        <v/>
      </c>
      <c r="F288" s="9">
        <f>D288-1.5</f>
        <v/>
      </c>
      <c r="G288" s="25" t="n">
        <v>119.28</v>
      </c>
      <c r="H288" s="6">
        <f>IF(OR(K288&gt;E288,K288&lt;F288),"FAIL","PASS")</f>
        <v/>
      </c>
      <c r="I288" s="7">
        <f>IF(G288&gt;300,G288-360-D288,G288-D288)</f>
        <v/>
      </c>
      <c r="J288" s="8">
        <f>IF(G288&gt;300,G288-360,0)</f>
        <v/>
      </c>
      <c r="K288" s="8">
        <f>IF(J288=0,G288,J288)</f>
        <v/>
      </c>
    </row>
    <row r="289" ht="15" customHeight="1">
      <c r="A289" s="12" t="n">
        <v>86</v>
      </c>
      <c r="B289" s="15" t="n">
        <v>198</v>
      </c>
      <c r="C289" s="12" t="n">
        <v>61</v>
      </c>
      <c r="D289" s="5" t="n">
        <v>122.28</v>
      </c>
      <c r="E289" s="9">
        <f>D289+1.5</f>
        <v/>
      </c>
      <c r="F289" s="9">
        <f>D289-1.5</f>
        <v/>
      </c>
      <c r="G289" s="25" t="n">
        <v>121.64</v>
      </c>
      <c r="H289" s="6">
        <f>IF(OR(K289&gt;E289,K289&lt;F289),"FAIL","PASS")</f>
        <v/>
      </c>
      <c r="I289" s="7">
        <f>IF(G289&gt;300,G289-360-D289,G289-D289)</f>
        <v/>
      </c>
      <c r="J289" s="8">
        <f>IF(G289&gt;300,G289-360,0)</f>
        <v/>
      </c>
      <c r="K289" s="8">
        <f>IF(J289=0,G289,J289)</f>
        <v/>
      </c>
    </row>
    <row r="290" ht="15" customHeight="1">
      <c r="A290" s="12" t="n">
        <v>85</v>
      </c>
      <c r="B290" s="12" t="n">
        <v>195</v>
      </c>
      <c r="C290" s="12" t="n">
        <v>249</v>
      </c>
      <c r="D290" s="5" t="n">
        <v>124.64</v>
      </c>
      <c r="E290" s="9">
        <f>D290+1.5</f>
        <v/>
      </c>
      <c r="F290" s="9">
        <f>D290-1.5</f>
        <v/>
      </c>
      <c r="G290" s="25" t="n">
        <v>124.02</v>
      </c>
      <c r="H290" s="6">
        <f>IF(OR(K290&gt;E290,K290&lt;F290),"FAIL","PASS")</f>
        <v/>
      </c>
      <c r="I290" s="7">
        <f>IF(G290&gt;300,G290-360-D290,G290-D290)</f>
        <v/>
      </c>
      <c r="J290" s="8">
        <f>IF(G290&gt;300,G290-360,0)</f>
        <v/>
      </c>
      <c r="K290" s="8">
        <f>IF(J290=0,G290,J290)</f>
        <v/>
      </c>
    </row>
    <row r="291" ht="15" customHeight="1">
      <c r="A291" s="12" t="n">
        <v>84</v>
      </c>
      <c r="B291" s="12" t="n">
        <v>193</v>
      </c>
      <c r="C291" s="12" t="n">
        <v>77</v>
      </c>
      <c r="D291" s="5" t="n">
        <v>126.99</v>
      </c>
      <c r="E291" s="9">
        <f>D291+1.5</f>
        <v/>
      </c>
      <c r="F291" s="9">
        <f>D291-1.5</f>
        <v/>
      </c>
      <c r="G291" s="25" t="n">
        <v>126.46</v>
      </c>
      <c r="H291" s="6">
        <f>IF(OR(K291&gt;E291,K291&lt;F291),"FAIL","PASS")</f>
        <v/>
      </c>
      <c r="I291" s="7">
        <f>IF(G291&gt;300,G291-360-D291,G291-D291)</f>
        <v/>
      </c>
      <c r="J291" s="8">
        <f>IF(G291&gt;300,G291-360,0)</f>
        <v/>
      </c>
      <c r="K291" s="8">
        <f>IF(J291=0,G291,J291)</f>
        <v/>
      </c>
    </row>
    <row r="292" ht="15" customHeight="1">
      <c r="A292" s="12" t="n">
        <v>83</v>
      </c>
      <c r="B292" s="12" t="n">
        <v>190</v>
      </c>
      <c r="C292" s="12" t="n">
        <v>265</v>
      </c>
      <c r="D292" s="5" t="n">
        <v>129.36</v>
      </c>
      <c r="E292" s="9">
        <f>D292+1.5</f>
        <v/>
      </c>
      <c r="F292" s="9">
        <f>D292-1.5</f>
        <v/>
      </c>
      <c r="G292" s="25" t="n">
        <v>128.91</v>
      </c>
      <c r="H292" s="6">
        <f>IF(OR(K292&gt;E292,K292&lt;F292),"FAIL","PASS")</f>
        <v/>
      </c>
      <c r="I292" s="7">
        <f>IF(G292&gt;300,G292-360-D292,G292-D292)</f>
        <v/>
      </c>
      <c r="J292" s="8">
        <f>IF(G292&gt;300,G292-360,0)</f>
        <v/>
      </c>
      <c r="K292" s="8">
        <f>IF(J292=0,G292,J292)</f>
        <v/>
      </c>
    </row>
    <row r="293" ht="15" customHeight="1">
      <c r="A293" s="12" t="n">
        <v>82</v>
      </c>
      <c r="B293" s="12" t="n">
        <v>188</v>
      </c>
      <c r="C293" s="12" t="n">
        <v>93</v>
      </c>
      <c r="D293" s="5" t="n">
        <v>131.75</v>
      </c>
      <c r="E293" s="9">
        <f>D293+1.5</f>
        <v/>
      </c>
      <c r="F293" s="9">
        <f>D293-1.5</f>
        <v/>
      </c>
      <c r="G293" s="25" t="n">
        <v>131.3</v>
      </c>
      <c r="H293" s="6">
        <f>IF(OR(K293&gt;E293,K293&lt;F293),"FAIL","PASS")</f>
        <v/>
      </c>
      <c r="I293" s="7">
        <f>IF(G293&gt;300,G293-360-D293,G293-D293)</f>
        <v/>
      </c>
      <c r="J293" s="8">
        <f>IF(G293&gt;300,G293-360,0)</f>
        <v/>
      </c>
      <c r="K293" s="8">
        <f>IF(J293=0,G293,J293)</f>
        <v/>
      </c>
    </row>
    <row r="294" ht="15" customHeight="1">
      <c r="A294" s="12" t="n">
        <v>81</v>
      </c>
      <c r="B294" s="12" t="n">
        <v>185</v>
      </c>
      <c r="C294" s="12" t="n">
        <v>282</v>
      </c>
      <c r="D294" s="5" t="n">
        <v>134.13</v>
      </c>
      <c r="E294" s="9">
        <f>D294+1.5</f>
        <v/>
      </c>
      <c r="F294" s="9">
        <f>D294-1.5</f>
        <v/>
      </c>
      <c r="G294" s="25" t="n">
        <v>133.67</v>
      </c>
      <c r="H294" s="6">
        <f>IF(OR(K294&gt;E294,K294&lt;F294),"FAIL","PASS")</f>
        <v/>
      </c>
      <c r="I294" s="7">
        <f>IF(G294&gt;300,G294-360-D294,G294-D294)</f>
        <v/>
      </c>
      <c r="J294" s="8">
        <f>IF(G294&gt;300,G294-360,0)</f>
        <v/>
      </c>
      <c r="K294" s="8">
        <f>IF(J294=0,G294,J294)</f>
        <v/>
      </c>
    </row>
    <row r="295" ht="15" customHeight="1">
      <c r="A295" s="11" t="n">
        <v>80</v>
      </c>
      <c r="B295" s="12" t="n">
        <v>183</v>
      </c>
      <c r="C295" s="12" t="n">
        <v>110</v>
      </c>
      <c r="D295" s="5" t="n">
        <v>136.5</v>
      </c>
      <c r="E295" s="9">
        <f>D295+1.5</f>
        <v/>
      </c>
      <c r="F295" s="9">
        <f>D295-1.5</f>
        <v/>
      </c>
      <c r="G295" s="25" t="n">
        <v>136.01</v>
      </c>
      <c r="H295" s="6">
        <f>IF(OR(K295&gt;E295,K295&lt;F295),"FAIL","PASS")</f>
        <v/>
      </c>
      <c r="I295" s="7">
        <f>IF(G295&gt;300,G295-360-D295,G295-D295)</f>
        <v/>
      </c>
      <c r="J295" s="8">
        <f>IF(G295&gt;300,G295-360,0)</f>
        <v/>
      </c>
      <c r="K295" s="8">
        <f>IF(J295=0,G295,J295)</f>
        <v/>
      </c>
    </row>
    <row r="296" ht="15" customHeight="1">
      <c r="A296" s="12" t="n">
        <v>79</v>
      </c>
      <c r="B296" s="12" t="n">
        <v>180</v>
      </c>
      <c r="C296" s="12" t="n">
        <v>298</v>
      </c>
      <c r="D296" s="5" t="n">
        <v>138.85</v>
      </c>
      <c r="E296" s="9">
        <f>D296+1.5</f>
        <v/>
      </c>
      <c r="F296" s="9">
        <f>D296-1.5</f>
        <v/>
      </c>
      <c r="G296" s="25" t="n">
        <v>138.29</v>
      </c>
      <c r="H296" s="6">
        <f>IF(OR(K296&gt;E296,K296&lt;F296),"FAIL","PASS")</f>
        <v/>
      </c>
      <c r="I296" s="7">
        <f>IF(G296&gt;300,G296-360-D296,G296-D296)</f>
        <v/>
      </c>
      <c r="J296" s="8">
        <f>IF(G296&gt;300,G296-360,0)</f>
        <v/>
      </c>
      <c r="K296" s="8">
        <f>IF(J296=0,G296,J296)</f>
        <v/>
      </c>
    </row>
    <row r="297" ht="15" customHeight="1">
      <c r="A297" s="12" t="n">
        <v>78</v>
      </c>
      <c r="B297" s="12" t="n">
        <v>178</v>
      </c>
      <c r="C297" s="12" t="n">
        <v>126</v>
      </c>
      <c r="D297" s="5" t="n">
        <v>141.15</v>
      </c>
      <c r="E297" s="9">
        <f>D297+1.5</f>
        <v/>
      </c>
      <c r="F297" s="9">
        <f>D297-1.5</f>
        <v/>
      </c>
      <c r="G297" s="25" t="n">
        <v>140.63</v>
      </c>
      <c r="H297" s="6">
        <f>IF(OR(K297&gt;E297,K297&lt;F297),"FAIL","PASS")</f>
        <v/>
      </c>
      <c r="I297" s="7">
        <f>IF(G297&gt;300,G297-360-D297,G297-D297)</f>
        <v/>
      </c>
      <c r="J297" s="8">
        <f>IF(G297&gt;300,G297-360,0)</f>
        <v/>
      </c>
      <c r="K297" s="8">
        <f>IF(J297=0,G297,J297)</f>
        <v/>
      </c>
    </row>
    <row r="298" ht="15" customHeight="1">
      <c r="A298" s="12" t="n">
        <v>77</v>
      </c>
      <c r="B298" s="12" t="n">
        <v>175</v>
      </c>
      <c r="C298" s="12" t="n">
        <v>315</v>
      </c>
      <c r="D298" s="5" t="n">
        <v>143.48</v>
      </c>
      <c r="E298" s="9">
        <f>D298+1.5</f>
        <v/>
      </c>
      <c r="F298" s="9">
        <f>D298-1.5</f>
        <v/>
      </c>
      <c r="G298" s="25" t="n">
        <v>142.84</v>
      </c>
      <c r="H298" s="6">
        <f>IF(OR(K298&gt;E298,K298&lt;F298),"FAIL","PASS")</f>
        <v/>
      </c>
      <c r="I298" s="7">
        <f>IF(G298&gt;300,G298-360-D298,G298-D298)</f>
        <v/>
      </c>
      <c r="J298" s="8">
        <f>IF(G298&gt;300,G298-360,0)</f>
        <v/>
      </c>
      <c r="K298" s="8">
        <f>IF(J298=0,G298,J298)</f>
        <v/>
      </c>
    </row>
    <row r="299" ht="15" customHeight="1">
      <c r="A299" s="12" t="n">
        <v>76</v>
      </c>
      <c r="B299" s="12" t="n">
        <v>173</v>
      </c>
      <c r="C299" s="12" t="n">
        <v>143</v>
      </c>
      <c r="D299" s="5" t="n">
        <v>145.83</v>
      </c>
      <c r="E299" s="9">
        <f>D299+1.5</f>
        <v/>
      </c>
      <c r="F299" s="9">
        <f>D299-1.5</f>
        <v/>
      </c>
      <c r="G299" s="25" t="n">
        <v>145.21</v>
      </c>
      <c r="H299" s="6">
        <f>IF(OR(K299&gt;E299,K299&lt;F299),"FAIL","PASS")</f>
        <v/>
      </c>
      <c r="I299" s="7">
        <f>IF(G299&gt;300,G299-360-D299,G299-D299)</f>
        <v/>
      </c>
      <c r="J299" s="8">
        <f>IF(G299&gt;300,G299-360,0)</f>
        <v/>
      </c>
      <c r="K299" s="8">
        <f>IF(J299=0,G299,J299)</f>
        <v/>
      </c>
    </row>
    <row r="300" ht="15" customHeight="1">
      <c r="A300" s="12" t="n">
        <v>75</v>
      </c>
      <c r="B300" s="12" t="n">
        <v>170</v>
      </c>
      <c r="C300" s="12" t="n">
        <v>331</v>
      </c>
      <c r="D300" s="5" t="n">
        <v>148.18</v>
      </c>
      <c r="E300" s="9">
        <f>D300+1.5</f>
        <v/>
      </c>
      <c r="F300" s="9">
        <f>D300-1.5</f>
        <v/>
      </c>
      <c r="G300" s="25" t="n">
        <v>147.57</v>
      </c>
      <c r="H300" s="6">
        <f>IF(OR(K300&gt;E300,K300&lt;F300),"FAIL","PASS")</f>
        <v/>
      </c>
      <c r="I300" s="7">
        <f>IF(G300&gt;300,G300-360-D300,G300-D300)</f>
        <v/>
      </c>
      <c r="J300" s="8">
        <f>IF(G300&gt;300,G300-360,0)</f>
        <v/>
      </c>
      <c r="K300" s="8">
        <f>IF(J300=0,G300,J300)</f>
        <v/>
      </c>
    </row>
    <row r="301" ht="15" customHeight="1">
      <c r="A301" s="12" t="n">
        <v>74</v>
      </c>
      <c r="B301" s="12" t="n">
        <v>168</v>
      </c>
      <c r="C301" s="12" t="n">
        <v>278</v>
      </c>
      <c r="D301" s="5" t="n">
        <v>150</v>
      </c>
      <c r="E301" s="9">
        <f>D301+1.5</f>
        <v/>
      </c>
      <c r="F301" s="9">
        <f>D301-1.5</f>
        <v/>
      </c>
      <c r="G301" s="25" t="n">
        <v>149.73</v>
      </c>
      <c r="H301" s="6">
        <f>IF(OR(K301&gt;E301,K301&lt;F301),"FAIL","PASS")</f>
        <v/>
      </c>
      <c r="I301" s="7">
        <f>IF(G301&gt;300,G301-360-D301,G301-D301)</f>
        <v/>
      </c>
      <c r="J301" s="8">
        <f>IF(G301&gt;300,G301-360,0)</f>
        <v/>
      </c>
      <c r="K301" s="8">
        <f>IF(J301=0,G301,J301)</f>
        <v/>
      </c>
    </row>
    <row r="302" ht="15" customHeight="1">
      <c r="A302" s="12" t="n">
        <v>73</v>
      </c>
      <c r="B302" s="12" t="n">
        <v>168</v>
      </c>
      <c r="C302" s="12" t="n">
        <v>159</v>
      </c>
      <c r="D302" s="5" t="n">
        <v>150.72</v>
      </c>
      <c r="E302" s="9">
        <f>D302+1.5</f>
        <v/>
      </c>
      <c r="F302" s="9">
        <f>D302-1.5</f>
        <v/>
      </c>
      <c r="G302" s="25" t="n">
        <v>150.08</v>
      </c>
      <c r="H302" s="6">
        <f>IF(OR(K302&gt;E302,K302&lt;F302),"FAIL","PASS")</f>
        <v/>
      </c>
      <c r="I302" s="7">
        <f>IF(G302&gt;300,G302-360-D302,G302-D302)</f>
        <v/>
      </c>
      <c r="J302" s="8">
        <f>IF(G302&gt;300,G302-360,0)</f>
        <v/>
      </c>
      <c r="K302" s="8">
        <f>IF(J302=0,G302,J302)</f>
        <v/>
      </c>
    </row>
    <row r="303" ht="15" customHeight="1">
      <c r="A303" s="12" t="n">
        <v>72</v>
      </c>
      <c r="B303" s="12" t="n">
        <v>165</v>
      </c>
      <c r="C303" s="12" t="n">
        <v>348</v>
      </c>
      <c r="D303" s="5" t="n">
        <v>153.57</v>
      </c>
      <c r="E303" s="9">
        <f>D303+1.5</f>
        <v/>
      </c>
      <c r="F303" s="9">
        <f>D303-1.5</f>
        <v/>
      </c>
      <c r="G303" s="25" t="n">
        <v>153.07</v>
      </c>
      <c r="H303" s="6">
        <f>IF(OR(K303&gt;E303,K303&lt;F303),"FAIL","PASS")</f>
        <v/>
      </c>
      <c r="I303" s="7">
        <f>IF(G303&gt;300,G303-360-D303,G303-D303)</f>
        <v/>
      </c>
      <c r="J303" s="8">
        <f>IF(G303&gt;300,G303-360,0)</f>
        <v/>
      </c>
      <c r="K303" s="8">
        <f>IF(J303=0,G303,J303)</f>
        <v/>
      </c>
    </row>
    <row r="304" ht="15" customHeight="1">
      <c r="A304" s="12" t="n">
        <v>71</v>
      </c>
      <c r="B304" s="12" t="n">
        <v>163</v>
      </c>
      <c r="C304" s="12" t="n">
        <v>176</v>
      </c>
      <c r="D304" s="5" t="n">
        <v>156.46</v>
      </c>
      <c r="E304" s="9">
        <f>D304+1.5</f>
        <v/>
      </c>
      <c r="F304" s="9">
        <f>D304-1.5</f>
        <v/>
      </c>
      <c r="G304" s="25" t="n">
        <v>155.92</v>
      </c>
      <c r="H304" s="6">
        <f>IF(OR(K304&gt;E304,K304&lt;F304),"FAIL","PASS")</f>
        <v/>
      </c>
      <c r="I304" s="7">
        <f>IF(G304&gt;300,G304-360-D304,G304-D304)</f>
        <v/>
      </c>
      <c r="J304" s="8">
        <f>IF(G304&gt;300,G304-360,0)</f>
        <v/>
      </c>
      <c r="K304" s="8">
        <f>IF(J304=0,G304,J304)</f>
        <v/>
      </c>
    </row>
    <row r="305" ht="15" customHeight="1">
      <c r="A305" s="12" t="n">
        <v>70</v>
      </c>
      <c r="B305" s="12" t="n">
        <v>161</v>
      </c>
      <c r="C305" s="12" t="n">
        <v>4</v>
      </c>
      <c r="D305" s="5" t="n">
        <v>159.31</v>
      </c>
      <c r="E305" s="9">
        <f>D305+1.5</f>
        <v/>
      </c>
      <c r="F305" s="9">
        <f>D305-1.5</f>
        <v/>
      </c>
      <c r="G305" s="25" t="n">
        <v>158.76</v>
      </c>
      <c r="H305" s="6">
        <f>IF(OR(K305&gt;E305,K305&lt;F305),"FAIL","PASS")</f>
        <v/>
      </c>
      <c r="I305" s="7">
        <f>IF(G305&gt;300,G305-360-D305,G305-D305)</f>
        <v/>
      </c>
      <c r="J305" s="8">
        <f>IF(G305&gt;300,G305-360,0)</f>
        <v/>
      </c>
      <c r="K305" s="8">
        <f>IF(J305=0,G305,J305)</f>
        <v/>
      </c>
    </row>
    <row r="306" ht="15" customHeight="1">
      <c r="A306" s="12" t="n">
        <v>69</v>
      </c>
      <c r="B306" s="12" t="n">
        <v>158</v>
      </c>
      <c r="C306" s="12" t="n">
        <v>192</v>
      </c>
      <c r="D306" s="5" t="n">
        <v>162.15</v>
      </c>
      <c r="E306" s="9">
        <f>D306+1.5</f>
        <v/>
      </c>
      <c r="F306" s="9">
        <f>D306-1.5</f>
        <v/>
      </c>
      <c r="G306" s="25" t="n">
        <v>161.56</v>
      </c>
      <c r="H306" s="6">
        <f>IF(OR(K306&gt;E306,K306&lt;F306),"FAIL","PASS")</f>
        <v/>
      </c>
      <c r="I306" s="7">
        <f>IF(G306&gt;300,G306-360-D306,G306-D306)</f>
        <v/>
      </c>
      <c r="J306" s="8">
        <f>IF(G306&gt;300,G306-360,0)</f>
        <v/>
      </c>
      <c r="K306" s="8">
        <f>IF(J306=0,G306,J306)</f>
        <v/>
      </c>
    </row>
    <row r="307" ht="15" customHeight="1">
      <c r="A307" s="12" t="n">
        <v>68</v>
      </c>
      <c r="B307" s="12" t="n">
        <v>156</v>
      </c>
      <c r="C307" s="12" t="n">
        <v>21</v>
      </c>
      <c r="D307" s="5" t="n">
        <v>164.95</v>
      </c>
      <c r="E307" s="9">
        <f>D307+1.5</f>
        <v/>
      </c>
      <c r="F307" s="9">
        <f>D307-1.5</f>
        <v/>
      </c>
      <c r="G307" s="25" t="n">
        <v>164.41</v>
      </c>
      <c r="H307" s="6">
        <f>IF(OR(K307&gt;E307,K307&lt;F307),"FAIL","PASS")</f>
        <v/>
      </c>
      <c r="I307" s="7">
        <f>IF(G307&gt;300,G307-360-D307,G307-D307)</f>
        <v/>
      </c>
      <c r="J307" s="8">
        <f>IF(G307&gt;300,G307-360,0)</f>
        <v/>
      </c>
      <c r="K307" s="8">
        <f>IF(J307=0,G307,J307)</f>
        <v/>
      </c>
    </row>
    <row r="308" ht="15" customHeight="1">
      <c r="A308" s="12" t="n">
        <v>67</v>
      </c>
      <c r="B308" s="12" t="n">
        <v>153</v>
      </c>
      <c r="C308" s="12" t="n">
        <v>209</v>
      </c>
      <c r="D308" s="5" t="n">
        <v>167.79</v>
      </c>
      <c r="E308" s="9">
        <f>D308+1.5</f>
        <v/>
      </c>
      <c r="F308" s="9">
        <f>D308-1.5</f>
        <v/>
      </c>
      <c r="G308" s="25" t="n">
        <v>167.31</v>
      </c>
      <c r="H308" s="6">
        <f>IF(OR(K308&gt;E308,K308&lt;F308),"FAIL","PASS")</f>
        <v/>
      </c>
      <c r="I308" s="7">
        <f>IF(G308&gt;300,G308-360-D308,G308-D308)</f>
        <v/>
      </c>
      <c r="J308" s="8">
        <f>IF(G308&gt;300,G308-360,0)</f>
        <v/>
      </c>
      <c r="K308" s="8">
        <f>IF(J308=0,G308,J308)</f>
        <v/>
      </c>
    </row>
    <row r="309" ht="15" customHeight="1">
      <c r="A309" s="12" t="n">
        <v>66</v>
      </c>
      <c r="B309" s="12" t="n">
        <v>151</v>
      </c>
      <c r="C309" s="12" t="n">
        <v>37</v>
      </c>
      <c r="D309" s="5" t="n">
        <v>170.84</v>
      </c>
      <c r="E309" s="9">
        <f>D309+1.5</f>
        <v/>
      </c>
      <c r="F309" s="9">
        <f>D309-1.5</f>
        <v/>
      </c>
      <c r="G309" s="25" t="n">
        <v>170.22</v>
      </c>
      <c r="H309" s="6">
        <f>IF(OR(K309&gt;E309,K309&lt;F309),"FAIL","PASS")</f>
        <v/>
      </c>
      <c r="I309" s="7">
        <f>IF(G309&gt;300,G309-360-D309,G309-D309)</f>
        <v/>
      </c>
      <c r="J309" s="8">
        <f>IF(G309&gt;300,G309-360,0)</f>
        <v/>
      </c>
      <c r="K309" s="8">
        <f>IF(J309=0,G309,J309)</f>
        <v/>
      </c>
    </row>
    <row r="310" ht="15" customHeight="1">
      <c r="A310" s="12" t="n">
        <v>65</v>
      </c>
      <c r="B310" s="12" t="n">
        <v>148</v>
      </c>
      <c r="C310" s="12" t="n">
        <v>225</v>
      </c>
      <c r="D310" s="5" t="n">
        <v>173.38</v>
      </c>
      <c r="E310" s="9">
        <f>D310+1.5</f>
        <v/>
      </c>
      <c r="F310" s="9">
        <f>D310-1.5</f>
        <v/>
      </c>
      <c r="G310" s="25" t="n">
        <v>172.99</v>
      </c>
      <c r="H310" s="6">
        <f>IF(OR(K310&gt;E310,K310&lt;F310),"FAIL","PASS")</f>
        <v/>
      </c>
      <c r="I310" s="7">
        <f>IF(G310&gt;300,G310-360-D310,G310-D310)</f>
        <v/>
      </c>
      <c r="J310" s="8">
        <f>IF(G310&gt;300,G310-360,0)</f>
        <v/>
      </c>
      <c r="K310" s="8">
        <f>IF(J310=0,G310,J310)</f>
        <v/>
      </c>
    </row>
    <row r="311" ht="15" customHeight="1">
      <c r="A311" s="12" t="n">
        <v>64</v>
      </c>
      <c r="B311" s="12" t="n">
        <v>146</v>
      </c>
      <c r="C311" s="12" t="n">
        <v>54</v>
      </c>
      <c r="D311" s="5" t="n">
        <v>176.13</v>
      </c>
      <c r="E311" s="9">
        <f>D311+1.5</f>
        <v/>
      </c>
      <c r="F311" s="9">
        <f>D311-1.5</f>
        <v/>
      </c>
      <c r="G311" s="25" t="n">
        <v>175.71</v>
      </c>
      <c r="H311" s="6">
        <f>IF(OR(K311&gt;E311,K311&lt;F311),"FAIL","PASS")</f>
        <v/>
      </c>
      <c r="I311" s="7">
        <f>IF(G311&gt;300,G311-360-D311,G311-D311)</f>
        <v/>
      </c>
      <c r="J311" s="8">
        <f>IF(G311&gt;300,G311-360,0)</f>
        <v/>
      </c>
      <c r="K311" s="8">
        <f>IF(J311=0,G311,J311)</f>
        <v/>
      </c>
    </row>
    <row r="312" ht="15" customHeight="1">
      <c r="A312" s="12" t="n">
        <v>63</v>
      </c>
      <c r="B312" s="12" t="n">
        <v>143</v>
      </c>
      <c r="C312" s="12" t="n">
        <v>242</v>
      </c>
      <c r="D312" s="5" t="n">
        <v>178.65</v>
      </c>
      <c r="E312" s="9">
        <f>D312+1.5</f>
        <v/>
      </c>
      <c r="F312" s="9">
        <f>D312-1.5</f>
        <v/>
      </c>
      <c r="G312" s="25" t="n">
        <v>178.08</v>
      </c>
      <c r="H312" s="6">
        <f>IF(OR(K312&gt;E312,K312&lt;F312),"FAIL","PASS")</f>
        <v/>
      </c>
      <c r="I312" s="7">
        <f>IF(G312&gt;300,G312-360-D312,G312-D312)</f>
        <v/>
      </c>
      <c r="J312" s="8">
        <f>IF(G312&gt;300,G312-360,0)</f>
        <v/>
      </c>
      <c r="K312" s="8">
        <f>IF(J312=0,G312,J312)</f>
        <v/>
      </c>
    </row>
    <row r="313" ht="15" customHeight="1">
      <c r="A313" s="12" t="n">
        <v>62</v>
      </c>
      <c r="B313" s="12" t="n">
        <v>142</v>
      </c>
      <c r="C313" s="12" t="n">
        <v>37</v>
      </c>
      <c r="D313" s="5" t="n">
        <v>180</v>
      </c>
      <c r="E313" s="9">
        <f>D313+1.5</f>
        <v/>
      </c>
      <c r="F313" s="9">
        <f>D313-1.5</f>
        <v/>
      </c>
      <c r="G313" s="25" t="n">
        <v>179.88</v>
      </c>
      <c r="H313" s="6">
        <f>IF(OR(K313&gt;E313,K313&lt;F313),"FAIL","PASS")</f>
        <v/>
      </c>
      <c r="I313" s="7">
        <f>IF(G313&gt;300,G313-360-D313,G313-D313)</f>
        <v/>
      </c>
      <c r="J313" s="8">
        <f>IF(G313&gt;300,G313-360,0)</f>
        <v/>
      </c>
      <c r="K313" s="8">
        <f>IF(J313=0,G313,J313)</f>
        <v/>
      </c>
    </row>
    <row r="314" ht="15" customHeight="1">
      <c r="A314" s="12" t="n">
        <v>61</v>
      </c>
      <c r="B314" s="12" t="n">
        <v>141</v>
      </c>
      <c r="C314" s="12" t="n">
        <v>70</v>
      </c>
      <c r="D314" s="5" t="n">
        <v>181.49</v>
      </c>
      <c r="E314" s="9">
        <f>D314+1.5</f>
        <v/>
      </c>
      <c r="F314" s="9">
        <f>D314-1.5</f>
        <v/>
      </c>
      <c r="G314" s="25" t="n">
        <v>180.98</v>
      </c>
      <c r="H314" s="6">
        <f>IF(OR(K314&gt;E314,K314&lt;F314),"FAIL","PASS")</f>
        <v/>
      </c>
      <c r="I314" s="7">
        <f>IF(G314&gt;300,G314-360-D314,G314-D314)</f>
        <v/>
      </c>
      <c r="J314" s="8">
        <f>IF(G314&gt;300,G314-360,0)</f>
        <v/>
      </c>
      <c r="K314" s="8">
        <f>IF(J314=0,G314,J314)</f>
        <v/>
      </c>
    </row>
    <row r="315" ht="15" customHeight="1">
      <c r="A315" s="12" t="n">
        <v>60</v>
      </c>
      <c r="B315" s="12" t="n">
        <v>138</v>
      </c>
      <c r="C315" s="11" t="n">
        <v>258</v>
      </c>
      <c r="D315" s="5" t="n">
        <v>184.37</v>
      </c>
      <c r="E315" s="9">
        <f>D315+1.5</f>
        <v/>
      </c>
      <c r="F315" s="9">
        <f>D315-1.5</f>
        <v/>
      </c>
      <c r="G315" s="25" t="n">
        <v>183.9</v>
      </c>
      <c r="H315" s="6">
        <f>IF(OR(K315&gt;E315,K315&lt;F315),"FAIL","PASS")</f>
        <v/>
      </c>
      <c r="I315" s="7">
        <f>IF(G315&gt;300,G315-360-D315,G315-D315)</f>
        <v/>
      </c>
      <c r="J315" s="8">
        <f>IF(G315&gt;300,G315-360,0)</f>
        <v/>
      </c>
      <c r="K315" s="8">
        <f>IF(J315=0,G315,J315)</f>
        <v/>
      </c>
    </row>
    <row r="316" ht="15" customHeight="1">
      <c r="A316" s="12" t="n">
        <v>59</v>
      </c>
      <c r="B316" s="12" t="n">
        <v>136</v>
      </c>
      <c r="C316" s="11" t="n">
        <v>87</v>
      </c>
      <c r="D316" s="5" t="n">
        <v>187.17</v>
      </c>
      <c r="E316" s="9">
        <f>D316+1.5</f>
        <v/>
      </c>
      <c r="F316" s="9">
        <f>D316-1.5</f>
        <v/>
      </c>
      <c r="G316" s="25" t="n">
        <v>186.61</v>
      </c>
      <c r="H316" s="6">
        <f>IF(OR(K316&gt;E316,K316&lt;F316),"FAIL","PASS")</f>
        <v/>
      </c>
      <c r="I316" s="7">
        <f>IF(G316&gt;300,G316-360-D316,G316-D316)</f>
        <v/>
      </c>
      <c r="J316" s="8">
        <f>IF(G316&gt;300,G316-360,0)</f>
        <v/>
      </c>
      <c r="K316" s="8">
        <f>IF(J316=0,G316,J316)</f>
        <v/>
      </c>
    </row>
    <row r="317" ht="15" customHeight="1">
      <c r="A317" s="12" t="n">
        <v>58</v>
      </c>
      <c r="B317" s="12" t="n">
        <v>133</v>
      </c>
      <c r="C317" s="11" t="n">
        <v>275</v>
      </c>
      <c r="D317" s="5" t="n">
        <v>189.96</v>
      </c>
      <c r="E317" s="9">
        <f>D317+1.5</f>
        <v/>
      </c>
      <c r="F317" s="9">
        <f>D317-1.5</f>
        <v/>
      </c>
      <c r="G317" s="25" t="n">
        <v>189.38</v>
      </c>
      <c r="H317" s="6">
        <f>IF(OR(K317&gt;E317,K317&lt;F317),"FAIL","PASS")</f>
        <v/>
      </c>
      <c r="I317" s="7">
        <f>IF(G317&gt;300,G317-360-D317,G317-D317)</f>
        <v/>
      </c>
      <c r="J317" s="8">
        <f>IF(G317&gt;300,G317-360,0)</f>
        <v/>
      </c>
      <c r="K317" s="8">
        <f>IF(J317=0,G317,J317)</f>
        <v/>
      </c>
    </row>
    <row r="318" ht="15" customHeight="1">
      <c r="A318" s="12" t="n">
        <v>57</v>
      </c>
      <c r="B318" s="12" t="n">
        <v>131</v>
      </c>
      <c r="C318" s="11" t="n">
        <v>103</v>
      </c>
      <c r="D318" s="5" t="n">
        <v>192.78</v>
      </c>
      <c r="E318" s="9">
        <f>D318+1.5</f>
        <v/>
      </c>
      <c r="F318" s="9">
        <f>D318-1.5</f>
        <v/>
      </c>
      <c r="G318" s="25" t="n">
        <v>192.2</v>
      </c>
      <c r="H318" s="6">
        <f>IF(OR(K318&gt;E318,K318&lt;F318),"FAIL","PASS")</f>
        <v/>
      </c>
      <c r="I318" s="7">
        <f>IF(G318&gt;300,G318-360-D318,G318-D318)</f>
        <v/>
      </c>
      <c r="J318" s="8">
        <f>IF(G318&gt;300,G318-360,0)</f>
        <v/>
      </c>
      <c r="K318" s="8">
        <f>IF(J318=0,G318,J318)</f>
        <v/>
      </c>
    </row>
    <row r="319" ht="15" customHeight="1">
      <c r="A319" s="12" t="n">
        <v>56</v>
      </c>
      <c r="B319" s="12" t="n">
        <v>128</v>
      </c>
      <c r="C319" s="11" t="n">
        <v>291</v>
      </c>
      <c r="D319" s="5" t="n">
        <v>195.56</v>
      </c>
      <c r="E319" s="9">
        <f>D319+1.5</f>
        <v/>
      </c>
      <c r="F319" s="9">
        <f>D319-1.5</f>
        <v/>
      </c>
      <c r="G319" s="25" t="n">
        <v>194.99</v>
      </c>
      <c r="H319" s="6">
        <f>IF(OR(K319&gt;E319,K319&lt;F319),"FAIL","PASS")</f>
        <v/>
      </c>
      <c r="I319" s="7">
        <f>IF(G319&gt;300,G319-360-D319,G319-D319)</f>
        <v/>
      </c>
      <c r="J319" s="8">
        <f>IF(G319&gt;300,G319-360,0)</f>
        <v/>
      </c>
      <c r="K319" s="8">
        <f>IF(J319=0,G319,J319)</f>
        <v/>
      </c>
    </row>
    <row r="320" ht="15" customHeight="1">
      <c r="A320" s="12" t="n">
        <v>55</v>
      </c>
      <c r="B320" s="12" t="n">
        <v>126</v>
      </c>
      <c r="C320" s="11" t="n">
        <v>120</v>
      </c>
      <c r="D320" s="5" t="n">
        <v>198.3</v>
      </c>
      <c r="E320" s="9">
        <f>D320+1.5</f>
        <v/>
      </c>
      <c r="F320" s="9">
        <f>D320-1.5</f>
        <v/>
      </c>
      <c r="G320" s="25" t="n">
        <v>197.81</v>
      </c>
      <c r="H320" s="6">
        <f>IF(OR(K320&gt;E320,K320&lt;F320),"FAIL","PASS")</f>
        <v/>
      </c>
      <c r="I320" s="7">
        <f>IF(G320&gt;300,G320-360-D320,G320-D320)</f>
        <v/>
      </c>
      <c r="J320" s="8">
        <f>IF(G320&gt;300,G320-360,0)</f>
        <v/>
      </c>
      <c r="K320" s="8">
        <f>IF(J320=0,G320,J320)</f>
        <v/>
      </c>
    </row>
    <row r="321" ht="15" customHeight="1">
      <c r="A321" s="12" t="n">
        <v>54</v>
      </c>
      <c r="B321" s="12" t="n">
        <v>123</v>
      </c>
      <c r="C321" s="11" t="n">
        <v>308</v>
      </c>
      <c r="D321" s="5" t="n">
        <v>201.06</v>
      </c>
      <c r="E321" s="9">
        <f>D321+1.5</f>
        <v/>
      </c>
      <c r="F321" s="9">
        <f>D321-1.5</f>
        <v/>
      </c>
      <c r="G321" s="25" t="n">
        <v>200.64</v>
      </c>
      <c r="H321" s="6">
        <f>IF(OR(K321&gt;E321,K321&lt;F321),"FAIL","PASS")</f>
        <v/>
      </c>
      <c r="I321" s="7">
        <f>IF(G321&gt;300,G321-360-D321,G321-D321)</f>
        <v/>
      </c>
      <c r="J321" s="8">
        <f>IF(G321&gt;300,G321-360,0)</f>
        <v/>
      </c>
      <c r="K321" s="8">
        <f>IF(J321=0,G321,J321)</f>
        <v/>
      </c>
    </row>
    <row r="322" ht="15" customHeight="1">
      <c r="A322" s="12" t="n">
        <v>53</v>
      </c>
      <c r="B322" s="12" t="n">
        <v>121</v>
      </c>
      <c r="C322" s="11" t="n">
        <v>136</v>
      </c>
      <c r="D322" s="5" t="n">
        <v>203.79</v>
      </c>
      <c r="E322" s="9">
        <f>D322+1.5</f>
        <v/>
      </c>
      <c r="F322" s="9">
        <f>D322-1.5</f>
        <v/>
      </c>
      <c r="G322" s="25" t="n">
        <v>203.4</v>
      </c>
      <c r="H322" s="6">
        <f>IF(OR(K322&gt;E322,K322&lt;F322),"FAIL","PASS")</f>
        <v/>
      </c>
      <c r="I322" s="7">
        <f>IF(G322&gt;300,G322-360-D322,G322-D322)</f>
        <v/>
      </c>
      <c r="J322" s="8">
        <f>IF(G322&gt;300,G322-360,0)</f>
        <v/>
      </c>
      <c r="K322" s="8">
        <f>IF(J322=0,G322,J322)</f>
        <v/>
      </c>
    </row>
    <row r="323" ht="15" customHeight="1">
      <c r="A323" s="12" t="n">
        <v>52</v>
      </c>
      <c r="B323" s="12" t="n">
        <v>118</v>
      </c>
      <c r="C323" s="11" t="n">
        <v>324</v>
      </c>
      <c r="D323" s="5" t="n">
        <v>206.5</v>
      </c>
      <c r="E323" s="9">
        <f>D323+1.5</f>
        <v/>
      </c>
      <c r="F323" s="9">
        <f>D323-1.5</f>
        <v/>
      </c>
      <c r="G323" s="25" t="n">
        <v>206.13</v>
      </c>
      <c r="H323" s="6">
        <f>IF(OR(K323&gt;E323,K323&lt;F323),"FAIL","PASS")</f>
        <v/>
      </c>
      <c r="I323" s="7">
        <f>IF(G323&gt;300,G323-360-D323,G323-D323)</f>
        <v/>
      </c>
      <c r="J323" s="8">
        <f>IF(G323&gt;300,G323-360,0)</f>
        <v/>
      </c>
      <c r="K323" s="8">
        <f>IF(J323=0,G323,J323)</f>
        <v/>
      </c>
    </row>
    <row r="324" ht="15" customHeight="1">
      <c r="A324" s="12" t="n">
        <v>51</v>
      </c>
      <c r="B324" s="12" t="n">
        <v>116</v>
      </c>
      <c r="C324" s="11" t="n">
        <v>153</v>
      </c>
      <c r="D324" s="5" t="n">
        <v>209.19</v>
      </c>
      <c r="E324" s="9">
        <f>D324+1.5</f>
        <v/>
      </c>
      <c r="F324" s="9">
        <f>D324-1.5</f>
        <v/>
      </c>
      <c r="G324" s="25" t="n">
        <v>208.9</v>
      </c>
      <c r="H324" s="6">
        <f>IF(OR(K324&gt;E324,K324&lt;F324),"FAIL","PASS")</f>
        <v/>
      </c>
      <c r="I324" s="7">
        <f>IF(G324&gt;300,G324-360-D324,G324-D324)</f>
        <v/>
      </c>
      <c r="J324" s="8">
        <f>IF(G324&gt;300,G324-360,0)</f>
        <v/>
      </c>
      <c r="K324" s="8">
        <f>IF(J324=0,G324,J324)</f>
        <v/>
      </c>
    </row>
    <row r="325" ht="15" customHeight="1">
      <c r="A325" s="12" t="n">
        <v>50</v>
      </c>
      <c r="B325" s="12" t="n">
        <v>115</v>
      </c>
      <c r="C325" s="11" t="n">
        <v>156</v>
      </c>
      <c r="D325" s="5" t="n">
        <v>210</v>
      </c>
      <c r="E325" s="9">
        <f>D325+1.5</f>
        <v/>
      </c>
      <c r="F325" s="9">
        <f>D325-1.5</f>
        <v/>
      </c>
      <c r="G325" s="25" t="n">
        <v>209.66</v>
      </c>
      <c r="H325" s="6">
        <f>IF(OR(K325&gt;E325,K325&lt;F325),"FAIL","PASS")</f>
        <v/>
      </c>
      <c r="I325" s="7">
        <f>IF(G325&gt;300,G325-360-D325,G325-D325)</f>
        <v/>
      </c>
      <c r="J325" s="8">
        <f>IF(G325&gt;300,G325-360,0)</f>
        <v/>
      </c>
      <c r="K325" s="8">
        <f>IF(J325=0,G325,J325)</f>
        <v/>
      </c>
    </row>
    <row r="326" ht="15" customHeight="1">
      <c r="A326" s="12" t="n">
        <v>49</v>
      </c>
      <c r="B326" s="12" t="n">
        <v>113</v>
      </c>
      <c r="C326" s="11" t="n">
        <v>341</v>
      </c>
      <c r="D326" s="5" t="n">
        <v>211.16</v>
      </c>
      <c r="E326" s="9">
        <f>D326+1.5</f>
        <v/>
      </c>
      <c r="F326" s="9">
        <f>D326-1.5</f>
        <v/>
      </c>
      <c r="G326" s="25" t="n">
        <v>210.76</v>
      </c>
      <c r="H326" s="6">
        <f>IF(OR(K326&gt;E326,K326&lt;F326),"FAIL","PASS")</f>
        <v/>
      </c>
      <c r="I326" s="7">
        <f>IF(G326&gt;300,G326-360-D326,G326-D326)</f>
        <v/>
      </c>
      <c r="J326" s="8">
        <f>IF(G326&gt;300,G326-360,0)</f>
        <v/>
      </c>
      <c r="K326" s="8">
        <f>IF(J326=0,G326,J326)</f>
        <v/>
      </c>
    </row>
    <row r="327" ht="15" customHeight="1">
      <c r="A327" s="12" t="n">
        <v>48</v>
      </c>
      <c r="B327" s="12" t="n">
        <v>111</v>
      </c>
      <c r="C327" s="11" t="n">
        <v>169</v>
      </c>
      <c r="D327" s="5" t="n">
        <v>212.8</v>
      </c>
      <c r="E327" s="9">
        <f>D327+1.5</f>
        <v/>
      </c>
      <c r="F327" s="9">
        <f>D327-1.5</f>
        <v/>
      </c>
      <c r="G327" s="25" t="n">
        <v>212.4</v>
      </c>
      <c r="H327" s="6">
        <f>IF(OR(K327&gt;E327,K327&lt;F327),"FAIL","PASS")</f>
        <v/>
      </c>
      <c r="I327" s="7">
        <f>IF(G327&gt;300,G327-360-D327,G327-D327)</f>
        <v/>
      </c>
      <c r="J327" s="8">
        <f>IF(G327&gt;300,G327-360,0)</f>
        <v/>
      </c>
      <c r="K327" s="8">
        <f>IF(J327=0,G327,J327)</f>
        <v/>
      </c>
    </row>
    <row r="328" ht="15" customHeight="1">
      <c r="A328" s="11" t="n">
        <v>47</v>
      </c>
      <c r="B328" s="12" t="n">
        <v>108</v>
      </c>
      <c r="C328" s="11" t="n">
        <v>357</v>
      </c>
      <c r="D328" s="5" t="n">
        <v>214.27</v>
      </c>
      <c r="E328" s="9">
        <f>D328+1.5</f>
        <v/>
      </c>
      <c r="F328" s="9">
        <f>D328-1.5</f>
        <v/>
      </c>
      <c r="G328" s="25" t="n">
        <v>213.84</v>
      </c>
      <c r="H328" s="6">
        <f>IF(OR(K328&gt;E328,K328&lt;F328),"FAIL","PASS")</f>
        <v/>
      </c>
      <c r="I328" s="7">
        <f>IF(G328&gt;300,G328-360-D328,G328-D328)</f>
        <v/>
      </c>
      <c r="J328" s="8">
        <f>IF(G328&gt;300,G328-360,0)</f>
        <v/>
      </c>
      <c r="K328" s="8">
        <f>IF(J328=0,G328,J328)</f>
        <v/>
      </c>
    </row>
    <row r="329" ht="15" customHeight="1">
      <c r="A329" s="12" t="n">
        <v>46</v>
      </c>
      <c r="B329" s="12" t="n">
        <v>106</v>
      </c>
      <c r="C329" s="11" t="n">
        <v>186</v>
      </c>
      <c r="D329" s="5" t="n">
        <v>215.78</v>
      </c>
      <c r="E329" s="9">
        <f>D329+1.5</f>
        <v/>
      </c>
      <c r="F329" s="9">
        <f>D329-1.5</f>
        <v/>
      </c>
      <c r="G329" s="25" t="n">
        <v>215.33</v>
      </c>
      <c r="H329" s="6">
        <f>IF(OR(K329&gt;E329,K329&lt;F329),"FAIL","PASS")</f>
        <v/>
      </c>
      <c r="I329" s="7">
        <f>IF(G329&gt;300,G329-360-D329,G329-D329)</f>
        <v/>
      </c>
      <c r="J329" s="8">
        <f>IF(G329&gt;300,G329-360,0)</f>
        <v/>
      </c>
      <c r="K329" s="8">
        <f>IF(J329=0,G329,J329)</f>
        <v/>
      </c>
    </row>
    <row r="330" ht="15" customHeight="1">
      <c r="A330" s="11" t="n">
        <v>45</v>
      </c>
      <c r="B330" s="12" t="n">
        <v>104</v>
      </c>
      <c r="C330" s="11" t="n">
        <v>1.4</v>
      </c>
      <c r="D330" s="16" t="n">
        <v>217.31</v>
      </c>
      <c r="E330" s="9">
        <f>D330+1.5</f>
        <v/>
      </c>
      <c r="F330" s="9">
        <f>D330-1.5</f>
        <v/>
      </c>
      <c r="G330" s="25" t="n">
        <v>216.81</v>
      </c>
      <c r="H330" s="6">
        <f>IF(OR(K330&gt;E330,K330&lt;F330),"FAIL","PASS")</f>
        <v/>
      </c>
      <c r="I330" s="7">
        <f>IF(G330&gt;300,G330-360-D330,G330-D330)</f>
        <v/>
      </c>
      <c r="J330" s="8">
        <f>IF(G330&gt;300,G330-360,0)</f>
        <v/>
      </c>
      <c r="K330" s="8">
        <f>IF(J330=0,G330,J330)</f>
        <v/>
      </c>
    </row>
    <row r="331" ht="15" customHeight="1">
      <c r="A331" s="11" t="n">
        <v>44</v>
      </c>
      <c r="B331" s="12" t="n">
        <v>101</v>
      </c>
      <c r="C331" s="11" t="n">
        <v>202</v>
      </c>
      <c r="D331" s="5" t="n">
        <v>218.86</v>
      </c>
      <c r="E331" s="9">
        <f>D331+1.5</f>
        <v/>
      </c>
      <c r="F331" s="9">
        <f>D331-1.5</f>
        <v/>
      </c>
      <c r="G331" s="25" t="n">
        <v>218.36</v>
      </c>
      <c r="H331" s="6">
        <f>IF(OR(K331&gt;E331,K331&lt;F331),"FAIL","PASS")</f>
        <v/>
      </c>
      <c r="I331" s="7">
        <f>IF(G331&gt;300,G331-360-D331,G331-D331)</f>
        <v/>
      </c>
      <c r="J331" s="8">
        <f>IF(G331&gt;300,G331-360,0)</f>
        <v/>
      </c>
      <c r="K331" s="8">
        <f>IF(J331=0,G331,J331)</f>
        <v/>
      </c>
    </row>
    <row r="332" ht="15" customHeight="1">
      <c r="A332" s="11" t="n">
        <v>43</v>
      </c>
      <c r="B332" s="12" t="n">
        <v>99</v>
      </c>
      <c r="C332" s="11" t="n">
        <v>30</v>
      </c>
      <c r="D332" s="5" t="n">
        <v>220.4</v>
      </c>
      <c r="E332" s="9">
        <f>D332+1.5</f>
        <v/>
      </c>
      <c r="F332" s="9">
        <f>D332-1.5</f>
        <v/>
      </c>
      <c r="G332" s="25" t="n">
        <v>219.87</v>
      </c>
      <c r="H332" s="6">
        <f>IF(OR(K332&gt;E332,K332&lt;F332),"FAIL","PASS")</f>
        <v/>
      </c>
      <c r="I332" s="7">
        <f>IF(G332&gt;300,G332-360-D332,G332-D332)</f>
        <v/>
      </c>
      <c r="J332" s="8">
        <f>IF(G332&gt;300,G332-360,0)</f>
        <v/>
      </c>
      <c r="K332" s="8">
        <f>IF(J332=0,G332,J332)</f>
        <v/>
      </c>
    </row>
    <row r="333" ht="15" customHeight="1">
      <c r="A333" s="12" t="n">
        <v>42</v>
      </c>
      <c r="B333" s="12" t="n">
        <v>96</v>
      </c>
      <c r="C333" s="11" t="n">
        <v>218</v>
      </c>
      <c r="D333" s="5" t="n">
        <v>221.91</v>
      </c>
      <c r="E333" s="9">
        <f>D333+1.5</f>
        <v/>
      </c>
      <c r="F333" s="9">
        <f>D333-1.5</f>
        <v/>
      </c>
      <c r="G333" s="25" t="n">
        <v>221.42</v>
      </c>
      <c r="H333" s="6">
        <f>IF(OR(K333&gt;E333,K333&lt;F333),"FAIL","PASS")</f>
        <v/>
      </c>
      <c r="I333" s="7">
        <f>IF(G333&gt;300,G333-360-D333,G333-D333)</f>
        <v/>
      </c>
      <c r="J333" s="8">
        <f>IF(G333&gt;300,G333-360,0)</f>
        <v/>
      </c>
      <c r="K333" s="8">
        <f>IF(J333=0,G333,J333)</f>
        <v/>
      </c>
    </row>
    <row r="334" ht="15" customHeight="1">
      <c r="A334" s="12" t="n">
        <v>41</v>
      </c>
      <c r="B334" s="12" t="n">
        <v>94</v>
      </c>
      <c r="C334" s="11" t="n">
        <v>47</v>
      </c>
      <c r="D334" s="5" t="n">
        <v>223.38</v>
      </c>
      <c r="E334" s="9">
        <f>D334+1.5</f>
        <v/>
      </c>
      <c r="F334" s="9">
        <f>D334-1.5</f>
        <v/>
      </c>
      <c r="G334" s="25" t="n">
        <v>222.85</v>
      </c>
      <c r="H334" s="6">
        <f>IF(OR(K334&gt;E334,K334&lt;F334),"FAIL","PASS")</f>
        <v/>
      </c>
      <c r="I334" s="7">
        <f>IF(G334&gt;300,G334-360-D334,G334-D334)</f>
        <v/>
      </c>
      <c r="J334" s="8">
        <f>IF(G334&gt;300,G334-360,0)</f>
        <v/>
      </c>
      <c r="K334" s="8">
        <f>IF(J334=0,G334,J334)</f>
        <v/>
      </c>
    </row>
    <row r="335" ht="15" customHeight="1">
      <c r="A335" s="12" t="n">
        <v>40</v>
      </c>
      <c r="B335" s="12" t="n">
        <v>91</v>
      </c>
      <c r="C335" s="11" t="n">
        <v>235</v>
      </c>
      <c r="D335" s="5" t="n">
        <v>224.79</v>
      </c>
      <c r="E335" s="9">
        <f>D335+1.5</f>
        <v/>
      </c>
      <c r="F335" s="9">
        <f>D335-1.5</f>
        <v/>
      </c>
      <c r="G335" s="25" t="n">
        <v>224.24</v>
      </c>
      <c r="H335" s="6">
        <f>IF(OR(K335&gt;E335,K335&lt;F335),"FAIL","PASS")</f>
        <v/>
      </c>
      <c r="I335" s="7">
        <f>IF(G335&gt;300,G335-360-D335,G335-D335)</f>
        <v/>
      </c>
      <c r="J335" s="8">
        <f>IF(G335&gt;300,G335-360,0)</f>
        <v/>
      </c>
      <c r="K335" s="8">
        <f>IF(J335=0,G335,J335)</f>
        <v/>
      </c>
    </row>
    <row r="336" ht="15" customHeight="1">
      <c r="A336" s="12" t="n">
        <v>39</v>
      </c>
      <c r="B336" s="12" t="n">
        <v>89</v>
      </c>
      <c r="C336" s="11" t="n">
        <v>63</v>
      </c>
      <c r="D336" s="5" t="n">
        <v>226.26</v>
      </c>
      <c r="E336" s="9">
        <f>D336+1.5</f>
        <v/>
      </c>
      <c r="F336" s="9">
        <f>D336-1.5</f>
        <v/>
      </c>
      <c r="G336" s="25" t="n">
        <v>225.74</v>
      </c>
      <c r="H336" s="6">
        <f>IF(OR(K336&gt;E336,K336&lt;F336),"FAIL","PASS")</f>
        <v/>
      </c>
      <c r="I336" s="7">
        <f>IF(G336&gt;300,G336-360-D336,G336-D336)</f>
        <v/>
      </c>
      <c r="J336" s="8">
        <f>IF(G336&gt;300,G336-360,0)</f>
        <v/>
      </c>
      <c r="K336" s="8">
        <f>IF(J336=0,G336,J336)</f>
        <v/>
      </c>
    </row>
    <row r="337" ht="15" customHeight="1">
      <c r="A337" s="12" t="n">
        <v>38</v>
      </c>
      <c r="B337" s="12" t="n">
        <v>86</v>
      </c>
      <c r="C337" s="11" t="n">
        <v>251</v>
      </c>
      <c r="D337" s="5" t="n">
        <v>227.7</v>
      </c>
      <c r="E337" s="9">
        <f>D337+1.5</f>
        <v/>
      </c>
      <c r="F337" s="9">
        <f>D337-1.5</f>
        <v/>
      </c>
      <c r="G337" s="25" t="n">
        <v>227.22</v>
      </c>
      <c r="H337" s="6">
        <f>IF(OR(K337&gt;E337,K337&lt;F337),"FAIL","PASS")</f>
        <v/>
      </c>
      <c r="I337" s="7">
        <f>IF(G337&gt;300,G337-360-D337,G337-D337)</f>
        <v/>
      </c>
      <c r="J337" s="8">
        <f>IF(G337&gt;300,G337-360,0)</f>
        <v/>
      </c>
      <c r="K337" s="8">
        <f>IF(J337=0,G337,J337)</f>
        <v/>
      </c>
    </row>
    <row r="338" ht="15" customHeight="1">
      <c r="A338" s="12" t="n">
        <v>37</v>
      </c>
      <c r="B338" s="12" t="n">
        <v>84</v>
      </c>
      <c r="C338" s="11" t="n">
        <v>80</v>
      </c>
      <c r="D338" s="5" t="n">
        <v>229.11</v>
      </c>
      <c r="E338" s="9">
        <f>D338+1.5</f>
        <v/>
      </c>
      <c r="F338" s="9">
        <f>D338-1.5</f>
        <v/>
      </c>
      <c r="G338" s="25" t="n">
        <v>228.64</v>
      </c>
      <c r="H338" s="6">
        <f>IF(OR(K338&gt;E338,K338&lt;F338),"FAIL","PASS")</f>
        <v/>
      </c>
      <c r="I338" s="7">
        <f>IF(G338&gt;300,G338-360-D338,G338-D338)</f>
        <v/>
      </c>
      <c r="J338" s="8">
        <f>IF(G338&gt;300,G338-360,0)</f>
        <v/>
      </c>
      <c r="K338" s="8">
        <f>IF(J338=0,G338,J338)</f>
        <v/>
      </c>
    </row>
    <row r="339" ht="15" customHeight="1">
      <c r="A339" s="12" t="n">
        <v>36</v>
      </c>
      <c r="B339" s="12" t="n">
        <v>81</v>
      </c>
      <c r="C339" s="11" t="n">
        <v>268</v>
      </c>
      <c r="D339" s="5" t="n">
        <v>230.53</v>
      </c>
      <c r="E339" s="9">
        <f>D339+1.5</f>
        <v/>
      </c>
      <c r="F339" s="9">
        <f>D339-1.5</f>
        <v/>
      </c>
      <c r="G339" s="25" t="n">
        <v>230.06</v>
      </c>
      <c r="H339" s="6">
        <f>IF(OR(K339&gt;E339,K339&lt;F339),"FAIL","PASS")</f>
        <v/>
      </c>
      <c r="I339" s="7">
        <f>IF(G339&gt;300,G339-360-D339,G339-D339)</f>
        <v/>
      </c>
      <c r="J339" s="8">
        <f>IF(G339&gt;300,G339-360,0)</f>
        <v/>
      </c>
      <c r="K339" s="8">
        <f>IF(J339=0,G339,J339)</f>
        <v/>
      </c>
    </row>
    <row r="340" ht="15" customHeight="1">
      <c r="A340" s="12" t="n">
        <v>35</v>
      </c>
      <c r="B340" s="12" t="n">
        <v>79</v>
      </c>
      <c r="C340" s="11" t="n">
        <v>96</v>
      </c>
      <c r="D340" s="5" t="n">
        <v>231.95</v>
      </c>
      <c r="E340" s="9">
        <f>D340+1.5</f>
        <v/>
      </c>
      <c r="F340" s="9">
        <f>D340-1.5</f>
        <v/>
      </c>
      <c r="G340" s="25" t="n">
        <v>231.48</v>
      </c>
      <c r="H340" s="6">
        <f>IF(OR(K340&gt;E340,K340&lt;F340),"FAIL","PASS")</f>
        <v/>
      </c>
      <c r="I340" s="7">
        <f>IF(G340&gt;300,G340-360-D340,G340-D340)</f>
        <v/>
      </c>
      <c r="J340" s="8">
        <f>IF(G340&gt;300,G340-360,0)</f>
        <v/>
      </c>
      <c r="K340" s="8">
        <f>IF(J340=0,G340,J340)</f>
        <v/>
      </c>
    </row>
    <row r="341" ht="15" customHeight="1">
      <c r="A341" s="11" t="n">
        <v>34</v>
      </c>
      <c r="B341" s="12" t="n">
        <v>76</v>
      </c>
      <c r="C341" s="11" t="n">
        <v>284</v>
      </c>
      <c r="D341" s="5" t="n">
        <v>233.37</v>
      </c>
      <c r="E341" s="9">
        <f>D341+1.5</f>
        <v/>
      </c>
      <c r="F341" s="9">
        <f>D341-1.5</f>
        <v/>
      </c>
      <c r="G341" s="25" t="n">
        <v>232.95</v>
      </c>
      <c r="H341" s="6">
        <f>IF(OR(K341&gt;E341,K341&lt;F341),"FAIL","PASS")</f>
        <v/>
      </c>
      <c r="I341" s="7">
        <f>IF(G341&gt;300,G341-360-D341,G341-D341)</f>
        <v/>
      </c>
      <c r="J341" s="8">
        <f>IF(G341&gt;300,G341-360,0)</f>
        <v/>
      </c>
      <c r="K341" s="8">
        <f>IF(J341=0,G341,J341)</f>
        <v/>
      </c>
    </row>
    <row r="342" ht="15" customHeight="1">
      <c r="A342" s="11" t="n">
        <v>33</v>
      </c>
      <c r="B342" s="12" t="n">
        <v>74</v>
      </c>
      <c r="C342" s="11" t="n">
        <v>113</v>
      </c>
      <c r="D342" s="5" t="n">
        <v>234.81</v>
      </c>
      <c r="E342" s="9">
        <f>D342+1.5</f>
        <v/>
      </c>
      <c r="F342" s="9">
        <f>D342-1.5</f>
        <v/>
      </c>
      <c r="G342" s="25" t="n">
        <v>234.32</v>
      </c>
      <c r="H342" s="6">
        <f>IF(OR(K342&gt;E342,K342&lt;F342),"FAIL","PASS")</f>
        <v/>
      </c>
      <c r="I342" s="7">
        <f>IF(G342&gt;300,G342-360-D342,G342-D342)</f>
        <v/>
      </c>
      <c r="J342" s="8">
        <f>IF(G342&gt;300,G342-360,0)</f>
        <v/>
      </c>
      <c r="K342" s="8">
        <f>IF(J342=0,G342,J342)</f>
        <v/>
      </c>
    </row>
    <row r="343" ht="15" customHeight="1">
      <c r="A343" s="12" t="n">
        <v>32</v>
      </c>
      <c r="B343" s="12" t="n">
        <v>71</v>
      </c>
      <c r="C343" s="11" t="n">
        <v>301</v>
      </c>
      <c r="D343" s="5" t="n">
        <v>236.24</v>
      </c>
      <c r="E343" s="9">
        <f>D343+1.5</f>
        <v/>
      </c>
      <c r="F343" s="9">
        <f>D343-1.5</f>
        <v/>
      </c>
      <c r="G343" s="25" t="n">
        <v>235.71</v>
      </c>
      <c r="H343" s="6">
        <f>IF(OR(K343&gt;E343,K343&lt;F343),"FAIL","PASS")</f>
        <v/>
      </c>
      <c r="I343" s="7">
        <f>IF(G343&gt;300,G343-360-D343,G343-D343)</f>
        <v/>
      </c>
      <c r="J343" s="8">
        <f>IF(G343&gt;300,G343-360,0)</f>
        <v/>
      </c>
      <c r="K343" s="8">
        <f>IF(J343=0,G343,J343)</f>
        <v/>
      </c>
    </row>
    <row r="344" ht="15" customHeight="1">
      <c r="A344" s="12" t="n">
        <v>31</v>
      </c>
      <c r="B344" s="12" t="n">
        <v>69</v>
      </c>
      <c r="C344" s="11" t="n">
        <v>129</v>
      </c>
      <c r="D344" s="5" t="n">
        <v>237.65</v>
      </c>
      <c r="E344" s="9">
        <f>D344+1.5</f>
        <v/>
      </c>
      <c r="F344" s="9">
        <f>D344-1.5</f>
        <v/>
      </c>
      <c r="G344" s="25" t="n">
        <v>237.09</v>
      </c>
      <c r="H344" s="6">
        <f>IF(OR(K344&gt;E344,K344&lt;F344),"FAIL","PASS")</f>
        <v/>
      </c>
      <c r="I344" s="7">
        <f>IF(G344&gt;300,G344-360-D344,G344-D344)</f>
        <v/>
      </c>
      <c r="J344" s="8">
        <f>IF(G344&gt;300,G344-360,0)</f>
        <v/>
      </c>
      <c r="K344" s="8">
        <f>IF(J344=0,G344,J344)</f>
        <v/>
      </c>
    </row>
    <row r="345" ht="15" customHeight="1">
      <c r="A345" s="12" t="n">
        <v>30</v>
      </c>
      <c r="B345" s="12" t="n">
        <v>66</v>
      </c>
      <c r="C345" s="12" t="n">
        <v>317</v>
      </c>
      <c r="D345" s="5" t="n">
        <v>239.04</v>
      </c>
      <c r="E345" s="9">
        <f>D345+1.5</f>
        <v/>
      </c>
      <c r="F345" s="9">
        <f>D345-1.5</f>
        <v/>
      </c>
      <c r="G345" s="24" t="n">
        <v>238.42</v>
      </c>
      <c r="H345" s="6">
        <f>IF(OR(K345&gt;E345,K345&lt;F345),"FAIL","PASS")</f>
        <v/>
      </c>
      <c r="I345" s="7">
        <f>IF(G345&gt;300,G345-360-D345,G345-D345)</f>
        <v/>
      </c>
      <c r="J345" s="8">
        <f>IF(G345&gt;300,G345-360,0)</f>
        <v/>
      </c>
      <c r="K345" s="8">
        <f>IF(J345=0,G345,J345)</f>
        <v/>
      </c>
    </row>
    <row r="346" ht="15" customHeight="1">
      <c r="A346" s="12" t="n">
        <v>29</v>
      </c>
      <c r="B346" s="12" t="n">
        <v>64</v>
      </c>
      <c r="C346" s="12" t="n">
        <v>318</v>
      </c>
      <c r="D346" s="5" t="n">
        <v>240</v>
      </c>
      <c r="E346" s="9">
        <f>D346+1.5</f>
        <v/>
      </c>
      <c r="F346" s="9">
        <f>D346-1.5</f>
        <v/>
      </c>
      <c r="G346" s="24" t="n">
        <v>239.57</v>
      </c>
      <c r="H346" s="6">
        <f>IF(OR(K346&gt;E346,K346&lt;F346),"FAIL","PASS")</f>
        <v/>
      </c>
      <c r="I346" s="7">
        <f>IF(G346&gt;300,G346-360-D346,G346-D346)</f>
        <v/>
      </c>
      <c r="J346" s="8">
        <f>IF(G346&gt;300,G346-360,0)</f>
        <v/>
      </c>
      <c r="K346" s="8">
        <f>IF(J346=0,G346,J346)</f>
        <v/>
      </c>
    </row>
    <row r="347" ht="15" customHeight="1">
      <c r="A347" s="12" t="n">
        <v>28</v>
      </c>
      <c r="B347" s="12" t="n">
        <v>64</v>
      </c>
      <c r="C347" s="12" t="n">
        <v>146</v>
      </c>
      <c r="D347" s="5" t="n">
        <v>240.49</v>
      </c>
      <c r="E347" s="9">
        <f>D347+1.5</f>
        <v/>
      </c>
      <c r="F347" s="9">
        <f>D347-1.5</f>
        <v/>
      </c>
      <c r="G347" s="24" t="n">
        <v>239.85</v>
      </c>
      <c r="H347" s="6">
        <f>IF(OR(K347&gt;E347,K347&lt;F347),"FAIL","PASS")</f>
        <v/>
      </c>
      <c r="I347" s="7">
        <f>IF(G347&gt;300,G347-360-D347,G347-D347)</f>
        <v/>
      </c>
      <c r="J347" s="8">
        <f>IF(G347&gt;300,G347-360,0)</f>
        <v/>
      </c>
      <c r="K347" s="8">
        <f>IF(J347=0,G347,J347)</f>
        <v/>
      </c>
    </row>
    <row r="348" ht="15" customHeight="1">
      <c r="A348" s="12" t="n">
        <v>27</v>
      </c>
      <c r="B348" s="12" t="n">
        <v>61</v>
      </c>
      <c r="C348" s="12" t="n">
        <v>334</v>
      </c>
      <c r="D348" s="5" t="n">
        <v>241.94</v>
      </c>
      <c r="E348" s="9">
        <f>D348+1.5</f>
        <v/>
      </c>
      <c r="F348" s="9">
        <f>D348-1.5</f>
        <v/>
      </c>
      <c r="G348" s="24" t="n">
        <v>241.4</v>
      </c>
      <c r="H348" s="6">
        <f>IF(OR(K348&gt;E348,K348&lt;F348),"FAIL","PASS")</f>
        <v/>
      </c>
      <c r="I348" s="7">
        <f>IF(G348&gt;300,G348-360-D348,G348-D348)</f>
        <v/>
      </c>
      <c r="J348" s="8">
        <f>IF(G348&gt;300,G348-360,0)</f>
        <v/>
      </c>
      <c r="K348" s="8">
        <f>IF(J348=0,G348,J348)</f>
        <v/>
      </c>
    </row>
    <row r="349" ht="15" customHeight="1">
      <c r="A349" s="12" t="n">
        <v>26</v>
      </c>
      <c r="B349" s="12" t="n">
        <v>59</v>
      </c>
      <c r="C349" s="12" t="n">
        <v>162</v>
      </c>
      <c r="D349" s="5" t="n">
        <v>243.35</v>
      </c>
      <c r="E349" s="9">
        <f>D349+1.5</f>
        <v/>
      </c>
      <c r="F349" s="9">
        <f>D349-1.5</f>
        <v/>
      </c>
      <c r="G349" s="24" t="n">
        <v>242.9</v>
      </c>
      <c r="H349" s="6">
        <f>IF(OR(K349&gt;E349,K349&lt;F349),"FAIL","PASS")</f>
        <v/>
      </c>
      <c r="I349" s="7">
        <f>IF(G349&gt;300,G349-360-D349,G349-D349)</f>
        <v/>
      </c>
      <c r="J349" s="8">
        <f>IF(G349&gt;300,G349-360,0)</f>
        <v/>
      </c>
      <c r="K349" s="8">
        <f>IF(J349=0,G349,J349)</f>
        <v/>
      </c>
    </row>
    <row r="350" ht="15" customHeight="1">
      <c r="A350" s="12" t="n">
        <v>25</v>
      </c>
      <c r="B350" s="11" t="n">
        <v>56</v>
      </c>
      <c r="C350" s="12" t="n">
        <v>350</v>
      </c>
      <c r="D350" s="5" t="n">
        <v>244.8</v>
      </c>
      <c r="E350" s="9">
        <f>D350+1.5</f>
        <v/>
      </c>
      <c r="F350" s="9">
        <f>D350-1.5</f>
        <v/>
      </c>
      <c r="G350" s="24" t="n">
        <v>244.46</v>
      </c>
      <c r="H350" s="6">
        <f>IF(OR(K350&gt;E350,K350&lt;F350),"FAIL","PASS")</f>
        <v/>
      </c>
      <c r="I350" s="7">
        <f>IF(G350&gt;300,G350-360-D350,G350-D350)</f>
        <v/>
      </c>
      <c r="J350" s="8">
        <f>IF(G350&gt;300,G350-360,0)</f>
        <v/>
      </c>
      <c r="K350" s="8">
        <f>IF(J350=0,G350,J350)</f>
        <v/>
      </c>
    </row>
    <row r="351" ht="15" customHeight="1">
      <c r="A351" s="12" t="n">
        <v>24</v>
      </c>
      <c r="B351" s="15" t="n">
        <v>54</v>
      </c>
      <c r="C351" s="12" t="n">
        <v>179</v>
      </c>
      <c r="D351" s="5" t="n">
        <v>246.28</v>
      </c>
      <c r="E351" s="9">
        <f>D351+1.5</f>
        <v/>
      </c>
      <c r="F351" s="9">
        <f>D351-1.5</f>
        <v/>
      </c>
      <c r="G351" s="24" t="n">
        <v>245.92</v>
      </c>
      <c r="H351" s="6">
        <f>IF(OR(K351&gt;E351,K351&lt;F351),"FAIL","PASS")</f>
        <v/>
      </c>
      <c r="I351" s="7">
        <f>IF(G351&gt;300,G351-360-D351,G351-D351)</f>
        <v/>
      </c>
      <c r="J351" s="8">
        <f>IF(G351&gt;300,G351-360,0)</f>
        <v/>
      </c>
      <c r="K351" s="8">
        <f>IF(J351=0,G351,J351)</f>
        <v/>
      </c>
    </row>
    <row r="352" ht="15" customHeight="1">
      <c r="A352" s="12" t="n">
        <v>23</v>
      </c>
      <c r="B352" s="12" t="n">
        <v>52</v>
      </c>
      <c r="C352" s="12" t="n">
        <v>7</v>
      </c>
      <c r="D352" s="5" t="n">
        <v>247.75</v>
      </c>
      <c r="E352" s="9">
        <f>D352+1.5</f>
        <v/>
      </c>
      <c r="F352" s="9">
        <f>D352-1.5</f>
        <v/>
      </c>
      <c r="G352" s="24" t="n">
        <v>247.48</v>
      </c>
      <c r="H352" s="6">
        <f>IF(OR(K352&gt;E352,K352&lt;F352),"FAIL","PASS")</f>
        <v/>
      </c>
      <c r="I352" s="7">
        <f>IF(G352&gt;300,G352-360-D352,G352-D352)</f>
        <v/>
      </c>
      <c r="J352" s="8">
        <f>IF(G352&gt;300,G352-360,0)</f>
        <v/>
      </c>
      <c r="K352" s="8">
        <f>IF(J352=0,G352,J352)</f>
        <v/>
      </c>
    </row>
    <row r="353" ht="15" customHeight="1">
      <c r="A353" s="12" t="n">
        <v>22</v>
      </c>
      <c r="B353" s="12" t="n">
        <v>49</v>
      </c>
      <c r="C353" s="12" t="n">
        <v>195</v>
      </c>
      <c r="D353" s="5" t="n">
        <v>249.25</v>
      </c>
      <c r="E353" s="9">
        <f>D353+1.5</f>
        <v/>
      </c>
      <c r="F353" s="9">
        <f>D353-1.5</f>
        <v/>
      </c>
      <c r="G353" s="24" t="n">
        <v>249.04</v>
      </c>
      <c r="H353" s="6">
        <f>IF(OR(K353&gt;E353,K353&lt;F353),"FAIL","PASS")</f>
        <v/>
      </c>
      <c r="I353" s="7">
        <f>IF(G353&gt;300,G353-360-D353,G353-D353)</f>
        <v/>
      </c>
      <c r="J353" s="8">
        <f>IF(G353&gt;300,G353-360,0)</f>
        <v/>
      </c>
      <c r="K353" s="8">
        <f>IF(J353=0,G353,J353)</f>
        <v/>
      </c>
    </row>
    <row r="354" ht="15" customHeight="1">
      <c r="A354" s="12" t="n">
        <v>21</v>
      </c>
      <c r="B354" s="12" t="n">
        <v>47</v>
      </c>
      <c r="C354" s="12" t="n">
        <v>23</v>
      </c>
      <c r="D354" s="5" t="n">
        <v>250.73</v>
      </c>
      <c r="E354" s="9">
        <f>D354+1.5</f>
        <v/>
      </c>
      <c r="F354" s="9">
        <f>D354-1.5</f>
        <v/>
      </c>
      <c r="G354" s="24" t="n">
        <v>250.56</v>
      </c>
      <c r="H354" s="6">
        <f>IF(OR(K354&gt;E354,K354&lt;F354),"FAIL","PASS")</f>
        <v/>
      </c>
      <c r="I354" s="7">
        <f>IF(G354&gt;300,G354-360-D354,G354-D354)</f>
        <v/>
      </c>
      <c r="J354" s="8">
        <f>IF(G354&gt;300,G354-360,0)</f>
        <v/>
      </c>
      <c r="K354" s="8">
        <f>IF(J354=0,G354,J354)</f>
        <v/>
      </c>
    </row>
    <row r="355" ht="15" customHeight="1">
      <c r="A355" s="12" t="n">
        <v>20</v>
      </c>
      <c r="B355" s="12" t="n">
        <v>44</v>
      </c>
      <c r="C355" s="12" t="n">
        <v>212</v>
      </c>
      <c r="D355" s="5" t="n">
        <v>252.24</v>
      </c>
      <c r="E355" s="9">
        <f>D355+1.5</f>
        <v/>
      </c>
      <c r="F355" s="9">
        <f>D355-1.5</f>
        <v/>
      </c>
      <c r="G355" s="24" t="n">
        <v>252.05</v>
      </c>
      <c r="H355" s="6">
        <f>IF(OR(K355&gt;E355,K355&lt;F355),"FAIL","PASS")</f>
        <v/>
      </c>
      <c r="I355" s="7">
        <f>IF(G355&gt;300,G355-360-D355,G355-D355)</f>
        <v/>
      </c>
      <c r="J355" s="8">
        <f>IF(G355&gt;300,G355-360,0)</f>
        <v/>
      </c>
      <c r="K355" s="8">
        <f>IF(J355=0,G355,J355)</f>
        <v/>
      </c>
    </row>
    <row r="356" ht="15" customHeight="1">
      <c r="A356" s="12" t="n">
        <v>19</v>
      </c>
      <c r="B356" s="12" t="n">
        <v>42</v>
      </c>
      <c r="C356" s="12" t="n">
        <v>40</v>
      </c>
      <c r="D356" s="5" t="n">
        <v>253.76</v>
      </c>
      <c r="E356" s="9">
        <f>D356+1.5</f>
        <v/>
      </c>
      <c r="F356" s="9">
        <f>D356-1.5</f>
        <v/>
      </c>
      <c r="G356" s="24" t="n">
        <v>253.51</v>
      </c>
      <c r="H356" s="6">
        <f>IF(OR(K356&gt;E356,K356&lt;F356),"FAIL","PASS")</f>
        <v/>
      </c>
      <c r="I356" s="7">
        <f>IF(G356&gt;300,G356-360-D356,G356-D356)</f>
        <v/>
      </c>
      <c r="J356" s="8">
        <f>IF(G356&gt;300,G356-360,0)</f>
        <v/>
      </c>
      <c r="K356" s="8">
        <f>IF(J356=0,G356,J356)</f>
        <v/>
      </c>
    </row>
    <row r="357" ht="15" customHeight="1">
      <c r="A357" s="12" t="n">
        <v>18</v>
      </c>
      <c r="B357" s="12" t="n">
        <v>39</v>
      </c>
      <c r="C357" s="12" t="n">
        <v>228</v>
      </c>
      <c r="D357" s="5" t="n">
        <v>255.27</v>
      </c>
      <c r="E357" s="9">
        <f>D357+1.5</f>
        <v/>
      </c>
      <c r="F357" s="9">
        <f>D357-1.5</f>
        <v/>
      </c>
      <c r="G357" s="24" t="n">
        <v>255</v>
      </c>
      <c r="H357" s="6">
        <f>IF(OR(K357&gt;E357,K357&lt;F357),"FAIL","PASS")</f>
        <v/>
      </c>
      <c r="I357" s="7">
        <f>IF(G357&gt;300,G357-360-D357,G357-D357)</f>
        <v/>
      </c>
      <c r="J357" s="8">
        <f>IF(G357&gt;300,G357-360,0)</f>
        <v/>
      </c>
      <c r="K357" s="8">
        <f>IF(J357=0,G357,J357)</f>
        <v/>
      </c>
    </row>
    <row r="358" ht="15" customHeight="1">
      <c r="A358" s="12" t="n">
        <v>17</v>
      </c>
      <c r="B358" s="12" t="n">
        <v>37</v>
      </c>
      <c r="C358" s="12" t="n">
        <v>56</v>
      </c>
      <c r="D358" s="5" t="n">
        <v>256.75</v>
      </c>
      <c r="E358" s="9">
        <f>D358+1.5</f>
        <v/>
      </c>
      <c r="F358" s="9">
        <f>D358-1.5</f>
        <v/>
      </c>
      <c r="G358" s="24" t="n">
        <v>256.46</v>
      </c>
      <c r="H358" s="6">
        <f>IF(OR(K358&gt;E358,K358&lt;F358),"FAIL","PASS")</f>
        <v/>
      </c>
      <c r="I358" s="7">
        <f>IF(G358&gt;300,G358-360-D358,G358-D358)</f>
        <v/>
      </c>
      <c r="J358" s="8">
        <f>IF(G358&gt;300,G358-360,0)</f>
        <v/>
      </c>
      <c r="K358" s="8">
        <f>IF(J358=0,G358,J358)</f>
        <v/>
      </c>
    </row>
    <row r="359" ht="15" customHeight="1">
      <c r="A359" s="12" t="n">
        <v>16</v>
      </c>
      <c r="B359" s="12" t="n">
        <v>34</v>
      </c>
      <c r="C359" s="12" t="n">
        <v>245</v>
      </c>
      <c r="D359" s="5" t="n">
        <v>258.221</v>
      </c>
      <c r="E359" s="9">
        <f>D359+1.5</f>
        <v/>
      </c>
      <c r="F359" s="9">
        <f>D359-1.5</f>
        <v/>
      </c>
      <c r="G359" s="24" t="n">
        <v>257.9</v>
      </c>
      <c r="H359" s="6">
        <f>IF(OR(K359&gt;E359,K359&lt;F359),"FAIL","PASS")</f>
        <v/>
      </c>
      <c r="I359" s="7">
        <f>IF(G359&gt;300,G359-360-D359,G359-D359)</f>
        <v/>
      </c>
      <c r="J359" s="8">
        <f>IF(G359&gt;300,G359-360,0)</f>
        <v/>
      </c>
      <c r="K359" s="8">
        <f>IF(J359=0,G359,J359)</f>
        <v/>
      </c>
    </row>
    <row r="360" ht="15" customHeight="1">
      <c r="A360" s="12" t="n">
        <v>15</v>
      </c>
      <c r="B360" s="12" t="n">
        <v>32</v>
      </c>
      <c r="C360" s="12" t="n">
        <v>73</v>
      </c>
      <c r="D360" s="5" t="n">
        <v>259.7</v>
      </c>
      <c r="E360" s="9">
        <f>D360+1.5</f>
        <v/>
      </c>
      <c r="F360" s="9">
        <f>D360-1.5</f>
        <v/>
      </c>
      <c r="G360" s="24" t="n">
        <v>259.34</v>
      </c>
      <c r="H360" s="6">
        <f>IF(OR(K360&gt;E360,K360&lt;F360),"FAIL","PASS")</f>
        <v/>
      </c>
      <c r="I360" s="7">
        <f>IF(G360&gt;300,G360-360-D360,G360-D360)</f>
        <v/>
      </c>
      <c r="J360" s="8">
        <f>IF(G360&gt;300,G360-360,0)</f>
        <v/>
      </c>
      <c r="K360" s="8">
        <f>IF(J360=0,G360,J360)</f>
        <v/>
      </c>
    </row>
    <row r="361" ht="15" customHeight="1">
      <c r="A361" s="12" t="n">
        <v>14</v>
      </c>
      <c r="B361" s="12" t="n">
        <v>29</v>
      </c>
      <c r="C361" s="12" t="n">
        <v>261</v>
      </c>
      <c r="D361" s="5" t="n">
        <v>261.15</v>
      </c>
      <c r="E361" s="9">
        <f>D361+1.5</f>
        <v/>
      </c>
      <c r="F361" s="9">
        <f>D361-1.5</f>
        <v/>
      </c>
      <c r="G361" s="24" t="n">
        <v>260.71</v>
      </c>
      <c r="H361" s="6">
        <f>IF(OR(K361&gt;E361,K361&lt;F361),"FAIL","PASS")</f>
        <v/>
      </c>
      <c r="I361" s="7">
        <f>IF(G361&gt;300,G361-360-D361,G361-D361)</f>
        <v/>
      </c>
      <c r="J361" s="8">
        <f>IF(G361&gt;300,G361-360,0)</f>
        <v/>
      </c>
      <c r="K361" s="8">
        <f>IF(J361=0,G361,J361)</f>
        <v/>
      </c>
    </row>
    <row r="362" ht="15" customHeight="1">
      <c r="A362" s="12" t="n">
        <v>13</v>
      </c>
      <c r="B362" s="12" t="n">
        <v>27</v>
      </c>
      <c r="C362" s="12" t="n">
        <v>89</v>
      </c>
      <c r="D362" s="5" t="n">
        <v>262.61</v>
      </c>
      <c r="E362" s="9">
        <f>D362+1.5</f>
        <v/>
      </c>
      <c r="F362" s="9">
        <f>D362-1.5</f>
        <v/>
      </c>
      <c r="G362" s="24" t="n">
        <v>262.12</v>
      </c>
      <c r="H362" s="6">
        <f>IF(OR(K362&gt;E362,K362&lt;F362),"FAIL","PASS")</f>
        <v/>
      </c>
      <c r="I362" s="7">
        <f>IF(G362&gt;300,G362-360-D362,G362-D362)</f>
        <v/>
      </c>
      <c r="J362" s="8">
        <f>IF(G362&gt;300,G362-360,0)</f>
        <v/>
      </c>
      <c r="K362" s="8">
        <f>IF(J362=0,G362,J362)</f>
        <v/>
      </c>
    </row>
    <row r="363" ht="15" customHeight="1">
      <c r="A363" s="12" t="n">
        <v>12</v>
      </c>
      <c r="B363" s="12" t="n">
        <v>24</v>
      </c>
      <c r="C363" s="12" t="n">
        <v>278</v>
      </c>
      <c r="D363" s="5" t="n">
        <v>264.06</v>
      </c>
      <c r="E363" s="9">
        <f>D363+1.5</f>
        <v/>
      </c>
      <c r="F363" s="9">
        <f>D363-1.5</f>
        <v/>
      </c>
      <c r="G363" s="24" t="n">
        <v>263.53</v>
      </c>
      <c r="H363" s="6">
        <f>IF(OR(K363&gt;E363,K363&lt;F363),"FAIL","PASS")</f>
        <v/>
      </c>
      <c r="I363" s="7">
        <f>IF(G363&gt;300,G363-360-D363,G363-D363)</f>
        <v/>
      </c>
      <c r="J363" s="8">
        <f>IF(G363&gt;300,G363-360,0)</f>
        <v/>
      </c>
      <c r="K363" s="8">
        <f>IF(J363=0,G363,J363)</f>
        <v/>
      </c>
    </row>
    <row r="364" ht="15" customHeight="1">
      <c r="A364" s="12" t="n">
        <v>11</v>
      </c>
      <c r="B364" s="12" t="n">
        <v>22</v>
      </c>
      <c r="C364" s="12" t="n">
        <v>106</v>
      </c>
      <c r="D364" s="5" t="n">
        <v>265.49</v>
      </c>
      <c r="E364" s="9">
        <f>D364+1.5</f>
        <v/>
      </c>
      <c r="F364" s="9">
        <f>D364-1.5</f>
        <v/>
      </c>
      <c r="G364" s="24" t="n">
        <v>265.01</v>
      </c>
      <c r="H364" s="6">
        <f>IF(OR(K364&gt;E364,K364&lt;F364),"FAIL","PASS")</f>
        <v/>
      </c>
      <c r="I364" s="7">
        <f>IF(G364&gt;300,G364-360-D364,G364-D364)</f>
        <v/>
      </c>
      <c r="J364" s="8">
        <f>IF(G364&gt;300,G364-360,0)</f>
        <v/>
      </c>
      <c r="K364" s="8">
        <f>IF(J364=0,G364,J364)</f>
        <v/>
      </c>
    </row>
    <row r="365" ht="15" customHeight="1">
      <c r="A365" s="12" t="n">
        <v>10</v>
      </c>
      <c r="B365" s="12" t="n">
        <v>19</v>
      </c>
      <c r="C365" s="12" t="n">
        <v>294</v>
      </c>
      <c r="D365" s="5" t="n">
        <v>266.91</v>
      </c>
      <c r="E365" s="9">
        <f>D365+1.5</f>
        <v/>
      </c>
      <c r="F365" s="9">
        <f>D365-1.5</f>
        <v/>
      </c>
      <c r="G365" s="24" t="n">
        <v>266.44</v>
      </c>
      <c r="H365" s="6">
        <f>IF(OR(K365&gt;E365,K365&lt;F365),"FAIL","PASS")</f>
        <v/>
      </c>
      <c r="I365" s="7">
        <f>IF(G365&gt;300,G365-360-D365,G365-D365)</f>
        <v/>
      </c>
      <c r="J365" s="8">
        <f>IF(G365&gt;300,G365-360,0)</f>
        <v/>
      </c>
      <c r="K365" s="8">
        <f>IF(J365=0,G365,J365)</f>
        <v/>
      </c>
    </row>
    <row r="366" ht="15" customHeight="1">
      <c r="A366" s="12" t="n">
        <v>9</v>
      </c>
      <c r="B366" s="12" t="n">
        <v>17</v>
      </c>
      <c r="C366" s="11" t="n">
        <v>122</v>
      </c>
      <c r="D366" s="5" t="n">
        <v>268.29</v>
      </c>
      <c r="E366" s="9">
        <f>D366+1.5</f>
        <v/>
      </c>
      <c r="F366" s="9">
        <f>D366-1.5</f>
        <v/>
      </c>
      <c r="G366" s="24" t="n">
        <v>267.79</v>
      </c>
      <c r="H366" s="6">
        <f>IF(OR(K366&gt;E366,K366&lt;F366),"FAIL","PASS")</f>
        <v/>
      </c>
      <c r="I366" s="7">
        <f>IF(G366&gt;300,G366-360-D366,G366-D366)</f>
        <v/>
      </c>
      <c r="J366" s="8">
        <f>IF(G366&gt;300,G366-360,0)</f>
        <v/>
      </c>
      <c r="K366" s="8">
        <f>IF(J366=0,G366,J366)</f>
        <v/>
      </c>
    </row>
    <row r="367" ht="15" customHeight="1">
      <c r="A367" s="12" t="n">
        <v>8</v>
      </c>
      <c r="B367" s="12" t="n">
        <v>14</v>
      </c>
      <c r="C367" s="12" t="n">
        <v>311</v>
      </c>
      <c r="D367" s="5" t="n">
        <v>268.77</v>
      </c>
      <c r="E367" s="9">
        <f>D367+1.5</f>
        <v/>
      </c>
      <c r="F367" s="9">
        <f>D367-1.5</f>
        <v/>
      </c>
      <c r="G367" s="24" t="n">
        <v>269.37</v>
      </c>
      <c r="H367" s="6">
        <f>IF(OR(K367&gt;E367,K367&lt;F367),"FAIL","PASS")</f>
        <v/>
      </c>
      <c r="I367" s="7">
        <f>IF(G367&gt;300,G367-360-D367,G367-D367)</f>
        <v/>
      </c>
      <c r="J367" s="8">
        <f>IF(G367&gt;300,G367-360,0)</f>
        <v/>
      </c>
      <c r="K367" s="8">
        <f>IF(J367=0,G367,J367)</f>
        <v/>
      </c>
    </row>
    <row r="368" ht="15" customHeight="1">
      <c r="A368" s="12" t="n">
        <v>7</v>
      </c>
      <c r="B368" s="12" t="n">
        <v>14</v>
      </c>
      <c r="C368" s="12" t="n">
        <v>132</v>
      </c>
      <c r="D368" s="5" t="n">
        <v>270</v>
      </c>
      <c r="E368" s="9">
        <f>D368+1.5</f>
        <v/>
      </c>
      <c r="F368" s="9">
        <f>D368-1.5</f>
        <v/>
      </c>
      <c r="G368" s="24" t="n">
        <v>269.71</v>
      </c>
      <c r="H368" s="6">
        <f>IF(OR(K368&gt;E368,K368&lt;F368),"FAIL","PASS")</f>
        <v/>
      </c>
      <c r="I368" s="7">
        <f>IF(G368&gt;300,G368-360-D368,G368-D368)</f>
        <v/>
      </c>
      <c r="J368" s="8">
        <f>IF(G368&gt;300,G368-360,0)</f>
        <v/>
      </c>
      <c r="K368" s="8">
        <f>IF(J368=0,G368,J368)</f>
        <v/>
      </c>
    </row>
    <row r="369" ht="15" customHeight="1">
      <c r="A369" s="12" t="n">
        <v>6</v>
      </c>
      <c r="B369" s="12" t="n">
        <v>12</v>
      </c>
      <c r="C369" s="12" t="n">
        <v>139</v>
      </c>
      <c r="D369" s="5" t="n">
        <v>271.47</v>
      </c>
      <c r="E369" s="9">
        <f>D369+1.5</f>
        <v/>
      </c>
      <c r="F369" s="9">
        <f>D369-1.5</f>
        <v/>
      </c>
      <c r="G369" s="24" t="n">
        <v>271.12</v>
      </c>
      <c r="H369" s="6">
        <f>IF(OR(K369&gt;E369,K369&lt;F369),"FAIL","PASS")</f>
        <v/>
      </c>
      <c r="I369" s="7">
        <f>IF(G369&gt;300,G369-360-D369,G369-D369)</f>
        <v/>
      </c>
      <c r="J369" s="8">
        <f>IF(G369&gt;300,G369-360,0)</f>
        <v/>
      </c>
      <c r="K369" s="8">
        <f>IF(J369=0,G369,J369)</f>
        <v/>
      </c>
    </row>
    <row r="370" ht="15" customHeight="1">
      <c r="A370" s="12" t="n">
        <v>5</v>
      </c>
      <c r="B370" s="12" t="n">
        <v>9</v>
      </c>
      <c r="C370" s="12" t="n">
        <v>327</v>
      </c>
      <c r="D370" s="5" t="n">
        <v>273.05</v>
      </c>
      <c r="E370" s="9">
        <f>D370+1.5</f>
        <v/>
      </c>
      <c r="F370" s="9">
        <f>D370-1.5</f>
        <v/>
      </c>
      <c r="G370" s="24" t="n">
        <v>272.63</v>
      </c>
      <c r="H370" s="6">
        <f>IF(OR(K370&gt;E370,K370&lt;F370),"FAIL","PASS")</f>
        <v/>
      </c>
      <c r="I370" s="7">
        <f>IF(G370&gt;300,G370-360-D370,G370-D370)</f>
        <v/>
      </c>
      <c r="J370" s="8">
        <f>IF(G370&gt;300,G370-360,0)</f>
        <v/>
      </c>
      <c r="K370" s="8">
        <f>IF(J370=0,G370,J370)</f>
        <v/>
      </c>
    </row>
    <row r="371" ht="15" customHeight="1">
      <c r="A371" s="12" t="n">
        <v>4</v>
      </c>
      <c r="B371" s="12" t="n">
        <v>7</v>
      </c>
      <c r="C371" s="12" t="n">
        <v>155</v>
      </c>
      <c r="D371" s="14" t="n">
        <v>274.29</v>
      </c>
      <c r="E371" s="9">
        <f>D371+1.5</f>
        <v/>
      </c>
      <c r="F371" s="9">
        <f>D371-1.5</f>
        <v/>
      </c>
      <c r="G371" s="24" t="n">
        <v>273.8</v>
      </c>
      <c r="H371" s="6">
        <f>IF(OR(K371&gt;E371,K371&lt;F371),"FAIL","PASS")</f>
        <v/>
      </c>
      <c r="I371" s="7">
        <f>IF(G371&gt;300,G371-360-D371,G371-D371)</f>
        <v/>
      </c>
      <c r="J371" s="8">
        <f>IF(G371&gt;300,G371-360,0)</f>
        <v/>
      </c>
      <c r="K371" s="8">
        <f>IF(J371=0,G371,J371)</f>
        <v/>
      </c>
    </row>
    <row r="372" ht="15" customHeight="1">
      <c r="A372" s="12" t="n">
        <v>3</v>
      </c>
      <c r="B372" s="12" t="n">
        <v>4</v>
      </c>
      <c r="C372" s="12" t="n">
        <v>344</v>
      </c>
      <c r="D372" s="14" t="n">
        <v>275.41</v>
      </c>
      <c r="E372" s="9">
        <f>D372+1.5</f>
        <v/>
      </c>
      <c r="F372" s="9">
        <f>D372-1.5</f>
        <v/>
      </c>
      <c r="G372" s="24" t="n">
        <v>274.89</v>
      </c>
      <c r="H372" s="6">
        <f>IF(OR(K372&gt;E372,K372&lt;F372),"FAIL","PASS")</f>
        <v/>
      </c>
      <c r="I372" s="7">
        <f>IF(G372&gt;300,G372-360-D372,G372-D372)</f>
        <v/>
      </c>
      <c r="J372" s="8">
        <f>IF(G372&gt;300,G372-360,0)</f>
        <v/>
      </c>
      <c r="K372" s="8">
        <f>IF(J372=0,G372,J372)</f>
        <v/>
      </c>
    </row>
    <row r="373" ht="15" customHeight="1">
      <c r="A373" s="12" t="n">
        <v>2</v>
      </c>
      <c r="B373" s="12" t="n">
        <v>2</v>
      </c>
      <c r="C373" s="12" t="n">
        <v>172</v>
      </c>
      <c r="D373" s="5" t="n">
        <v>276.3</v>
      </c>
      <c r="E373" s="9">
        <f>D373+1.5</f>
        <v/>
      </c>
      <c r="F373" s="9">
        <f>D373-1.5</f>
        <v/>
      </c>
      <c r="G373" s="24" t="n">
        <v>275.94</v>
      </c>
      <c r="H373" s="6">
        <f>IF(OR(K373&gt;E373,K373&lt;F373),"FAIL","PASS")</f>
        <v/>
      </c>
      <c r="I373" s="7">
        <f>IF(G373&gt;300,G373-360-D373,G373-D373)</f>
        <v/>
      </c>
      <c r="J373" s="8">
        <f>IF(G373&gt;300,G373-360,0)</f>
        <v/>
      </c>
      <c r="K373" s="8">
        <f>IF(J373=0,G373,J373)</f>
        <v/>
      </c>
    </row>
    <row r="374" ht="15" customHeight="1">
      <c r="A374" s="11" t="inlineStr">
        <is>
          <t>1 (Rig)</t>
        </is>
      </c>
      <c r="B374" s="12" t="n">
        <v>0</v>
      </c>
      <c r="C374" s="13" t="n">
        <v>0</v>
      </c>
      <c r="D374" s="4" t="n">
        <v>277</v>
      </c>
      <c r="E374" s="4">
        <f>D374+1.5</f>
        <v/>
      </c>
      <c r="F374" s="4">
        <f>D374-1.5</f>
        <v/>
      </c>
      <c r="G374" s="24" t="n">
        <v>276.74</v>
      </c>
      <c r="H374" s="6">
        <f>IF(OR(K374&gt;E374,K374&lt;F374),"FAIL","PASS")</f>
        <v/>
      </c>
      <c r="I374" s="7">
        <f>IF(G374&gt;300,G374-360-D374,G374-D374)</f>
        <v/>
      </c>
      <c r="J374" s="8">
        <f>IF(G374&gt;300,G374-360,0)</f>
        <v/>
      </c>
      <c r="K374" s="8">
        <f>IF(J374=0,G374,J374)</f>
        <v/>
      </c>
    </row>
    <row r="375"/>
  </sheetData>
  <mergeCells count="22">
    <mergeCell ref="F4:G4"/>
    <mergeCell ref="H9:H10"/>
    <mergeCell ref="J9:J10"/>
    <mergeCell ref="F6:G6"/>
    <mergeCell ref="F3:G3"/>
    <mergeCell ref="D6:E6"/>
    <mergeCell ref="C9:C10"/>
    <mergeCell ref="E9:E10"/>
    <mergeCell ref="A2:I2"/>
    <mergeCell ref="F5:G5"/>
    <mergeCell ref="B9:B10"/>
    <mergeCell ref="A7:I8"/>
    <mergeCell ref="D9:D10"/>
    <mergeCell ref="F9:F10"/>
    <mergeCell ref="D4:E4"/>
    <mergeCell ref="D3:E3"/>
    <mergeCell ref="G9:G10"/>
    <mergeCell ref="I9:I10"/>
    <mergeCell ref="K9:K10"/>
    <mergeCell ref="A9:A10"/>
    <mergeCell ref="D5:E5"/>
    <mergeCell ref="A1:I1"/>
  </mergeCells>
  <conditionalFormatting sqref="H11:H374">
    <cfRule type="containsText" priority="1" operator="containsText" dxfId="5" text="PASS">
      <formula>NOT(ISERROR(SEARCH("PASS",H11)))</formula>
    </cfRule>
    <cfRule type="containsText" priority="2" operator="containsText" dxfId="4" text="FAIL">
      <formula>NOT(ISERROR(SEARCH("FAIL",H11)))</formula>
    </cfRule>
  </conditionalFormatting>
  <conditionalFormatting sqref="I11:I374">
    <cfRule type="expression" priority="5" dxfId="3">
      <formula>I11&lt;0</formula>
    </cfRule>
    <cfRule type="expression" priority="6" dxfId="2">
      <formula>I11&gt;1.5</formula>
    </cfRule>
    <cfRule type="expression" priority="7" dxfId="1">
      <formula>I11&gt;0</formula>
    </cfRule>
    <cfRule type="expression" priority="8" dxfId="0">
      <formula>I11&lt;-1.5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view="pageLayout" topLeftCell="B4" zoomScale="115" zoomScaleNormal="100" zoomScalePageLayoutView="115" workbookViewId="0">
      <selection activeCell="I20" sqref="I20"/>
    </sheetView>
  </sheetViews>
  <sheetFormatPr baseColWidth="8" defaultRowHeight="12.75" outlineLevelCol="0"/>
  <cols>
    <col width="6.5703125" customWidth="1" style="1" min="1" max="1"/>
    <col width="8" customWidth="1" style="1" min="2" max="2"/>
    <col width="8.140625" customWidth="1" style="1" min="3" max="3"/>
    <col width="14.42578125" customWidth="1" style="1" min="4" max="4"/>
    <col width="8.42578125" customWidth="1" style="1" min="5" max="5"/>
    <col width="10.42578125" customWidth="1" style="1" min="6" max="6"/>
    <col width="9.140625" customWidth="1" style="1" min="7" max="7"/>
    <col width="9.140625" customWidth="1" style="1" min="8" max="8"/>
    <col width="13" bestFit="1" customWidth="1" style="1" min="9" max="9"/>
    <col hidden="1" width="9.140625" customWidth="1" style="1" min="10" max="10"/>
    <col hidden="1" width="9.7109375" customWidth="1" style="1" min="11" max="11"/>
    <col width="9.140625" customWidth="1" style="1" min="12" max="16384"/>
  </cols>
  <sheetData>
    <row r="1" ht="15.75" customHeight="1">
      <c r="A1" s="51" t="inlineStr">
        <is>
          <t>RESULT RECORD SHEET</t>
        </is>
      </c>
      <c r="B1" s="52" t="n"/>
      <c r="C1" s="52" t="n"/>
      <c r="D1" s="52" t="n"/>
      <c r="E1" s="52" t="n"/>
      <c r="F1" s="52" t="n"/>
      <c r="G1" s="52" t="n"/>
      <c r="H1" s="52" t="n"/>
      <c r="I1" s="53" t="n"/>
    </row>
    <row r="2" ht="15.75" customHeight="1">
      <c r="A2" s="54" t="inlineStr">
        <is>
          <t>FOR TESTING FLAP POSITION SENSOR</t>
        </is>
      </c>
      <c r="I2" s="55" t="n"/>
    </row>
    <row r="3">
      <c r="A3" s="17" t="n"/>
      <c r="B3" s="18" t="n"/>
      <c r="D3" s="35" t="inlineStr">
        <is>
          <t>Description</t>
        </is>
      </c>
      <c r="F3" s="36" t="inlineStr">
        <is>
          <t>Flap Position Sensor</t>
        </is>
      </c>
      <c r="H3" s="18" t="n"/>
      <c r="I3" s="19" t="n"/>
    </row>
    <row r="4">
      <c r="A4" s="17" t="n"/>
      <c r="B4" s="18" t="n"/>
      <c r="D4" s="35" t="inlineStr">
        <is>
          <t>Part Number</t>
        </is>
      </c>
      <c r="F4" s="36" t="inlineStr">
        <is>
          <t>18-1738-12</t>
        </is>
      </c>
      <c r="H4" s="18" t="n"/>
      <c r="I4" s="19" t="n"/>
    </row>
    <row r="5">
      <c r="A5" s="17" t="n"/>
      <c r="B5" s="18" t="n"/>
      <c r="D5" s="35" t="inlineStr">
        <is>
          <t>Serial Number</t>
        </is>
      </c>
      <c r="F5" s="36" t="n">
        <v>2708</v>
      </c>
      <c r="H5" s="18" t="n"/>
      <c r="I5" s="19" t="n"/>
    </row>
    <row r="6">
      <c r="A6" s="20" t="n"/>
      <c r="B6" s="21" t="n"/>
      <c r="C6" s="22" t="n"/>
      <c r="D6" s="38" t="inlineStr">
        <is>
          <t>Work Order</t>
        </is>
      </c>
      <c r="E6" s="56" t="n"/>
      <c r="F6" s="39" t="n">
        <v>512225469</v>
      </c>
      <c r="G6" s="56" t="n"/>
      <c r="H6" s="21" t="n"/>
      <c r="I6" s="23" t="n"/>
    </row>
    <row r="7">
      <c r="A7" s="57" t="inlineStr">
        <is>
          <t>ACCURACY AUTO PILOT</t>
        </is>
      </c>
      <c r="B7" s="52" t="n"/>
      <c r="C7" s="52" t="n"/>
      <c r="D7" s="52" t="n"/>
      <c r="E7" s="52" t="n"/>
      <c r="F7" s="52" t="n"/>
      <c r="G7" s="52" t="n"/>
      <c r="H7" s="52" t="n"/>
      <c r="I7" s="52" t="n"/>
    </row>
    <row r="8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</row>
    <row r="9">
      <c r="A9" s="42" t="inlineStr">
        <is>
          <t>TEST POINT</t>
        </is>
      </c>
      <c r="B9" s="42" t="inlineStr">
        <is>
          <t>INPUT TURNS</t>
        </is>
      </c>
      <c r="C9" s="42" t="inlineStr">
        <is>
          <t>SHAFT ANGLE</t>
        </is>
      </c>
      <c r="D9" s="45" t="inlineStr">
        <is>
          <t>SYNCRO ELECT. OUTPUT</t>
        </is>
      </c>
      <c r="E9" s="45" t="inlineStr">
        <is>
          <t>TOP LIMIT</t>
        </is>
      </c>
      <c r="F9" s="45" t="inlineStr">
        <is>
          <t>BOTTOM LIMIT</t>
        </is>
      </c>
      <c r="G9" s="45" t="inlineStr">
        <is>
          <t>RESULT</t>
        </is>
      </c>
      <c r="H9" s="42" t="inlineStr">
        <is>
          <t>REMARK</t>
        </is>
      </c>
      <c r="I9" s="58" t="inlineStr">
        <is>
          <t>DIFFERENCE</t>
        </is>
      </c>
      <c r="J9" s="50" t="inlineStr">
        <is>
          <t>REFERENCE</t>
        </is>
      </c>
      <c r="K9" s="37" t="inlineStr">
        <is>
          <t>REAL VALUE</t>
        </is>
      </c>
    </row>
    <row r="10">
      <c r="A10" s="59" t="n"/>
      <c r="B10" s="59" t="n"/>
      <c r="C10" s="59" t="n"/>
      <c r="D10" s="59" t="n"/>
      <c r="E10" s="59" t="n"/>
      <c r="F10" s="59" t="n"/>
      <c r="G10" s="59" t="n"/>
      <c r="H10" s="59" t="n"/>
      <c r="I10" s="59" t="n"/>
      <c r="J10" s="60" t="n"/>
    </row>
    <row r="11" ht="15" customHeight="1">
      <c r="A11" s="2" t="n">
        <v>1</v>
      </c>
      <c r="B11" s="2" t="n">
        <v>0</v>
      </c>
      <c r="C11" s="2" t="n">
        <v>0</v>
      </c>
      <c r="D11" s="3" t="n">
        <v>277</v>
      </c>
      <c r="E11" s="4">
        <f>D11+1.5</f>
        <v/>
      </c>
      <c r="F11" s="4">
        <f>D11-1.5</f>
        <v/>
      </c>
      <c r="G11" s="24" t="n">
        <v>276.57</v>
      </c>
      <c r="H11" s="6">
        <f>IF(OR(K11&gt;E11,K11&lt;F11),"FAIL","PASS")</f>
        <v/>
      </c>
      <c r="I11" s="7">
        <f>G11-D11</f>
        <v/>
      </c>
      <c r="J11" s="8">
        <f>IF(G11&gt;300,G11-360,0)</f>
        <v/>
      </c>
      <c r="K11" s="8">
        <f>IF(J11=0,G11,J11)</f>
        <v/>
      </c>
    </row>
    <row r="12" ht="15" customHeight="1">
      <c r="A12" s="2" t="n">
        <v>2</v>
      </c>
      <c r="B12" s="2" t="n">
        <v>14</v>
      </c>
      <c r="C12" s="2" t="n">
        <v>132</v>
      </c>
      <c r="D12" s="3" t="n">
        <v>270</v>
      </c>
      <c r="E12" s="9">
        <f>D12+1.5</f>
        <v/>
      </c>
      <c r="F12" s="9">
        <f>D12-1.5</f>
        <v/>
      </c>
      <c r="G12" s="24" t="n">
        <v>269.82</v>
      </c>
      <c r="H12" s="6">
        <f>IF(OR(K12&gt;E12,K12&lt;F12),"FAIL","PASS")</f>
        <v/>
      </c>
      <c r="I12" s="7">
        <f>G12-D12</f>
        <v/>
      </c>
      <c r="J12" s="8">
        <f>IF(G12&gt;300,G12-360,0)</f>
        <v/>
      </c>
      <c r="K12" s="8">
        <f>IF(J12=0,G12,J12)</f>
        <v/>
      </c>
    </row>
    <row r="13" ht="15" customHeight="1">
      <c r="A13" s="2" t="n">
        <v>3</v>
      </c>
      <c r="B13" s="2" t="n">
        <v>64</v>
      </c>
      <c r="C13" s="2" t="n">
        <v>318</v>
      </c>
      <c r="D13" s="3" t="n">
        <v>240</v>
      </c>
      <c r="E13" s="9">
        <f>D13+1.5</f>
        <v/>
      </c>
      <c r="F13" s="9">
        <f>D13-1.5</f>
        <v/>
      </c>
      <c r="G13" s="24" t="n">
        <v>240.23</v>
      </c>
      <c r="H13" s="6">
        <f>IF(OR(K13&gt;E13,K13&lt;F13),"FAIL","PASS")</f>
        <v/>
      </c>
      <c r="I13" s="7">
        <f>G13-D13</f>
        <v/>
      </c>
      <c r="J13" s="8">
        <f>IF(G13&gt;300,G13-360,0)</f>
        <v/>
      </c>
      <c r="K13" s="8">
        <f>IF(J13=0,G13,J13)</f>
        <v/>
      </c>
    </row>
    <row r="14" ht="15" customHeight="1">
      <c r="A14" s="2" t="n">
        <v>4</v>
      </c>
      <c r="B14" s="2" t="n">
        <v>115</v>
      </c>
      <c r="C14" s="2" t="n">
        <v>156</v>
      </c>
      <c r="D14" s="3" t="n">
        <v>210</v>
      </c>
      <c r="E14" s="9">
        <f>D14+1.5</f>
        <v/>
      </c>
      <c r="F14" s="9">
        <f>D14-1.5</f>
        <v/>
      </c>
      <c r="G14" s="24" t="n">
        <v>210.13</v>
      </c>
      <c r="H14" s="6">
        <f>IF(OR(K14&gt;E14,K14&lt;F14),"FAIL","PASS")</f>
        <v/>
      </c>
      <c r="I14" s="7">
        <f>G14-D14</f>
        <v/>
      </c>
      <c r="J14" s="8">
        <f>IF(G14&gt;300,G14-360,0)</f>
        <v/>
      </c>
      <c r="K14" s="8">
        <f>IF(J14=0,G14,J14)</f>
        <v/>
      </c>
    </row>
    <row r="15" ht="15" customHeight="1">
      <c r="A15" s="2" t="n">
        <v>5</v>
      </c>
      <c r="B15" s="2" t="n">
        <v>142</v>
      </c>
      <c r="C15" s="2" t="n">
        <v>37</v>
      </c>
      <c r="D15" s="3" t="n">
        <v>180</v>
      </c>
      <c r="E15" s="9">
        <f>D15+1.5</f>
        <v/>
      </c>
      <c r="F15" s="9">
        <f>D15-1.5</f>
        <v/>
      </c>
      <c r="G15" s="24" t="n">
        <v>180.57</v>
      </c>
      <c r="H15" s="6">
        <f>IF(OR(K15&gt;E15,K15&lt;F15),"FAIL","PASS")</f>
        <v/>
      </c>
      <c r="I15" s="7">
        <f>G15-D15</f>
        <v/>
      </c>
      <c r="J15" s="8">
        <f>IF(G15&gt;300,G15-360,0)</f>
        <v/>
      </c>
      <c r="K15" s="8">
        <f>IF(J15=0,G15,J15)</f>
        <v/>
      </c>
    </row>
    <row r="16" ht="15" customHeight="1">
      <c r="A16" s="2" t="n">
        <v>6</v>
      </c>
      <c r="B16" s="2" t="n">
        <v>168</v>
      </c>
      <c r="C16" s="2" t="n">
        <v>278</v>
      </c>
      <c r="D16" s="3" t="n">
        <v>150</v>
      </c>
      <c r="E16" s="9">
        <f>D16+1.5</f>
        <v/>
      </c>
      <c r="F16" s="9">
        <f>D16-1.5</f>
        <v/>
      </c>
      <c r="G16" s="24" t="n">
        <v>150.48</v>
      </c>
      <c r="H16" s="6">
        <f>IF(OR(K16&gt;E16,K16&lt;F16),"FAIL","PASS")</f>
        <v/>
      </c>
      <c r="I16" s="7">
        <f>G16-D16</f>
        <v/>
      </c>
      <c r="J16" s="8">
        <f>IF(G16&gt;300,G16-360,0)</f>
        <v/>
      </c>
      <c r="K16" s="8">
        <f>IF(J16=0,G16,J16)</f>
        <v/>
      </c>
    </row>
    <row r="17" ht="15" customHeight="1">
      <c r="A17" s="2" t="n">
        <v>7</v>
      </c>
      <c r="B17" s="2" t="n">
        <v>207</v>
      </c>
      <c r="C17" s="2" t="n">
        <v>283</v>
      </c>
      <c r="D17" s="3" t="n">
        <v>113</v>
      </c>
      <c r="E17" s="9">
        <f>D17+1.5</f>
        <v/>
      </c>
      <c r="F17" s="9">
        <f>D17-1.5</f>
        <v/>
      </c>
      <c r="G17" s="24" t="n">
        <v>113.73</v>
      </c>
      <c r="H17" s="6">
        <f>IF(OR(K17&gt;E17,K17&lt;F17),"FAIL","PASS")</f>
        <v/>
      </c>
      <c r="I17" s="7">
        <f>G17-D17</f>
        <v/>
      </c>
      <c r="J17" s="8">
        <f>IF(G17&gt;300,G17-360,0)</f>
        <v/>
      </c>
      <c r="K17" s="8">
        <f>IF(J17=0,G17,J17)</f>
        <v/>
      </c>
    </row>
    <row r="18" ht="15" customHeight="1">
      <c r="A18" s="2" t="n">
        <v>8</v>
      </c>
      <c r="B18" s="2" t="n">
        <v>243</v>
      </c>
      <c r="C18" s="2" t="n">
        <v>74</v>
      </c>
      <c r="D18" s="3" t="n">
        <v>76</v>
      </c>
      <c r="E18" s="9">
        <f>D18+1.5</f>
        <v/>
      </c>
      <c r="F18" s="9">
        <f>D18-1.5</f>
        <v/>
      </c>
      <c r="G18" s="24" t="n">
        <v>76.66</v>
      </c>
      <c r="H18" s="6">
        <f>IF(OR(K18&gt;E18,K18&lt;F18),"FAIL","PASS")</f>
        <v/>
      </c>
      <c r="I18" s="7">
        <f>G18-D18</f>
        <v/>
      </c>
      <c r="J18" s="8">
        <f>IF(G18&gt;300,G18-360,0)</f>
        <v/>
      </c>
      <c r="K18" s="8">
        <f>IF(J18=0,G18,J18)</f>
        <v/>
      </c>
    </row>
    <row r="19" ht="15" customHeight="1">
      <c r="A19" s="2" t="n">
        <v>9</v>
      </c>
      <c r="B19" s="2" t="n">
        <v>278</v>
      </c>
      <c r="C19" s="2" t="n">
        <v>238</v>
      </c>
      <c r="D19" s="3" t="n">
        <v>37</v>
      </c>
      <c r="E19" s="9">
        <f>D19+1.5</f>
        <v/>
      </c>
      <c r="F19" s="9">
        <f>D19-1.5</f>
        <v/>
      </c>
      <c r="G19" s="24" t="n">
        <v>37.54</v>
      </c>
      <c r="H19" s="6">
        <f>IF(OR(K19&gt;E19,K19&lt;F19),"FAIL","PASS")</f>
        <v/>
      </c>
      <c r="I19" s="7">
        <f>G19-D19</f>
        <v/>
      </c>
      <c r="J19" s="8">
        <f>IF(G19&gt;300,G19-360,0)</f>
        <v/>
      </c>
      <c r="K19" s="8">
        <f>IF(J19=0,G19,J19)</f>
        <v/>
      </c>
    </row>
    <row r="20" ht="15" customHeight="1">
      <c r="A20" s="2" t="n">
        <v>10</v>
      </c>
      <c r="B20" s="2" t="n">
        <v>418</v>
      </c>
      <c r="C20" s="2" t="n">
        <v>216</v>
      </c>
      <c r="D20" s="3" t="n">
        <v>0</v>
      </c>
      <c r="E20" s="9">
        <f>D20+1.5</f>
        <v/>
      </c>
      <c r="F20" s="9">
        <f>D20-1.5</f>
        <v/>
      </c>
      <c r="G20" s="24" t="n">
        <v>1.16</v>
      </c>
      <c r="H20" s="6">
        <f>IF(OR(K20&gt;E20,K20&lt;F20),"FAIL","PASS")</f>
        <v/>
      </c>
      <c r="I20" s="7">
        <f>IF(G20&gt;300,G20-360-D20,G20-D20)</f>
        <v/>
      </c>
      <c r="J20" s="8">
        <f>IF(G20&gt;300,G20-360,0)</f>
        <v/>
      </c>
      <c r="K20" s="8">
        <f>IF(J20=0,G20,J20)</f>
        <v/>
      </c>
    </row>
    <row r="21" ht="15" customHeight="1">
      <c r="A21" s="2" t="n">
        <v>11</v>
      </c>
      <c r="B21" s="2" t="n">
        <v>425</v>
      </c>
      <c r="C21" s="2" t="n">
        <v>282</v>
      </c>
      <c r="D21" s="3" t="n">
        <v>-6</v>
      </c>
      <c r="E21" s="9">
        <f>D21+1.5</f>
        <v/>
      </c>
      <c r="F21" s="9">
        <f>D21-1.5</f>
        <v/>
      </c>
      <c r="G21" s="24" t="n">
        <v>354.74</v>
      </c>
      <c r="H21" s="6">
        <f>IF(OR(K21&gt;E21,K21&lt;F21),"FAIL","PASS")</f>
        <v/>
      </c>
      <c r="I21" s="7">
        <f>IF(G21&gt;300,G21-360-D21,G21-D21)</f>
        <v/>
      </c>
      <c r="J21" s="8">
        <f>IF(G21&gt;300,G21-360,0)</f>
        <v/>
      </c>
      <c r="K21" s="8">
        <f>IF(J21=0,G21,J21)</f>
        <v/>
      </c>
    </row>
    <row r="22">
      <c r="D22" s="10" t="n"/>
    </row>
    <row r="24" ht="15" customHeight="1">
      <c r="A24" s="2" t="n">
        <v>11</v>
      </c>
      <c r="B24" s="2" t="n">
        <v>425</v>
      </c>
      <c r="C24" s="2" t="n">
        <v>282</v>
      </c>
      <c r="D24" s="3" t="n">
        <v>-6</v>
      </c>
      <c r="E24" s="9">
        <f>D24+1.5</f>
        <v/>
      </c>
      <c r="F24" s="9">
        <f>D24-1.5</f>
        <v/>
      </c>
      <c r="G24" s="24">
        <f>G21</f>
        <v/>
      </c>
      <c r="H24" s="6">
        <f>IF(OR(K24&gt;E24,K24&lt;F24),"FAIL","PASS")</f>
        <v/>
      </c>
      <c r="I24" s="7">
        <f>IF(G24&gt;300,G24-360-D24,G24-D24)</f>
        <v/>
      </c>
      <c r="J24" s="8">
        <f>IF(G24&gt;300,G24-360,0)</f>
        <v/>
      </c>
      <c r="K24" s="8">
        <f>IF(J24=0,G24,J24)</f>
        <v/>
      </c>
    </row>
    <row r="25" ht="15" customHeight="1">
      <c r="A25" s="2" t="n">
        <v>10</v>
      </c>
      <c r="B25" s="2" t="n">
        <v>418</v>
      </c>
      <c r="C25" s="2" t="n">
        <v>216</v>
      </c>
      <c r="D25" s="3" t="n">
        <v>0</v>
      </c>
      <c r="E25" s="9">
        <f>D25+1.5</f>
        <v/>
      </c>
      <c r="F25" s="9">
        <f>D25-1.5</f>
        <v/>
      </c>
      <c r="G25" s="24" t="n">
        <v>0.99</v>
      </c>
      <c r="H25" s="6">
        <f>IF(OR(K25&gt;E25,K25&lt;F25),"FAIL","PASS")</f>
        <v/>
      </c>
      <c r="I25" s="7">
        <f>IF(G25&gt;300,G25-360-D25,G25-D25)</f>
        <v/>
      </c>
      <c r="J25" s="8">
        <f>IF(G25&gt;300,G25-360,0)</f>
        <v/>
      </c>
      <c r="K25" s="8">
        <f>IF(J25=0,G25,J25)</f>
        <v/>
      </c>
    </row>
    <row r="26" ht="15" customHeight="1">
      <c r="A26" s="2" t="n">
        <v>9</v>
      </c>
      <c r="B26" s="2" t="n">
        <v>278</v>
      </c>
      <c r="C26" s="2" t="n">
        <v>238</v>
      </c>
      <c r="D26" s="3" t="n">
        <v>37</v>
      </c>
      <c r="E26" s="9">
        <f>D26+1.5</f>
        <v/>
      </c>
      <c r="F26" s="9">
        <f>D26-1.5</f>
        <v/>
      </c>
      <c r="G26" s="24" t="n">
        <v>37.37</v>
      </c>
      <c r="H26" s="6">
        <f>IF(OR(K26&gt;E26,K26&lt;F26),"FAIL","PASS")</f>
        <v/>
      </c>
      <c r="I26" s="7">
        <f>G26-D26</f>
        <v/>
      </c>
      <c r="J26" s="8">
        <f>IF(G26&gt;300,G26-360,0)</f>
        <v/>
      </c>
      <c r="K26" s="8">
        <f>IF(J26=0,G26,J26)</f>
        <v/>
      </c>
    </row>
    <row r="27" ht="15" customHeight="1">
      <c r="A27" s="2" t="n">
        <v>8</v>
      </c>
      <c r="B27" s="2" t="n">
        <v>243</v>
      </c>
      <c r="C27" s="2" t="n">
        <v>74</v>
      </c>
      <c r="D27" s="3" t="n">
        <v>76</v>
      </c>
      <c r="E27" s="9">
        <f>D27+1.5</f>
        <v/>
      </c>
      <c r="F27" s="9">
        <f>D27-1.5</f>
        <v/>
      </c>
      <c r="G27" s="24" t="n">
        <v>76.51000000000001</v>
      </c>
      <c r="H27" s="6">
        <f>IF(OR(K27&gt;E27,K27&lt;F27),"FAIL","PASS")</f>
        <v/>
      </c>
      <c r="I27" s="7">
        <f>G27-D27</f>
        <v/>
      </c>
      <c r="J27" s="8">
        <f>IF(G27&gt;300,G27-360,0)</f>
        <v/>
      </c>
      <c r="K27" s="8">
        <f>IF(J27=0,G27,J27)</f>
        <v/>
      </c>
    </row>
    <row r="28" ht="15" customHeight="1">
      <c r="A28" s="2" t="n">
        <v>7</v>
      </c>
      <c r="B28" s="2" t="n">
        <v>207</v>
      </c>
      <c r="C28" s="2" t="n">
        <v>283</v>
      </c>
      <c r="D28" s="3" t="n">
        <v>113</v>
      </c>
      <c r="E28" s="9">
        <f>D28+1.5</f>
        <v/>
      </c>
      <c r="F28" s="9">
        <f>D28-1.5</f>
        <v/>
      </c>
      <c r="G28" s="24" t="n">
        <v>113.54</v>
      </c>
      <c r="H28" s="6">
        <f>IF(OR(K28&gt;E28,K28&lt;F28),"FAIL","PASS")</f>
        <v/>
      </c>
      <c r="I28" s="7">
        <f>G28-D28</f>
        <v/>
      </c>
      <c r="J28" s="8">
        <f>IF(G28&gt;300,G28-360,0)</f>
        <v/>
      </c>
      <c r="K28" s="8">
        <f>IF(J28=0,G28,J28)</f>
        <v/>
      </c>
    </row>
    <row r="29" ht="15" customHeight="1">
      <c r="A29" s="2" t="n">
        <v>6</v>
      </c>
      <c r="B29" s="2" t="n">
        <v>168</v>
      </c>
      <c r="C29" s="2" t="n">
        <v>278</v>
      </c>
      <c r="D29" s="3" t="n">
        <v>150</v>
      </c>
      <c r="E29" s="9">
        <f>D29+1.5</f>
        <v/>
      </c>
      <c r="F29" s="9">
        <f>D29-1.5</f>
        <v/>
      </c>
      <c r="G29" s="24" t="n">
        <v>150.36</v>
      </c>
      <c r="H29" s="6">
        <f>IF(OR(K29&gt;E29,K29&lt;F29),"FAIL","PASS")</f>
        <v/>
      </c>
      <c r="I29" s="7">
        <f>G29-D29</f>
        <v/>
      </c>
      <c r="J29" s="8">
        <f>IF(G29&gt;300,G29-360,0)</f>
        <v/>
      </c>
      <c r="K29" s="8">
        <f>IF(J29=0,G29,J29)</f>
        <v/>
      </c>
    </row>
    <row r="30" ht="15" customHeight="1">
      <c r="A30" s="2" t="n">
        <v>5</v>
      </c>
      <c r="B30" s="2" t="n">
        <v>142</v>
      </c>
      <c r="C30" s="2" t="n">
        <v>37</v>
      </c>
      <c r="D30" s="3" t="n">
        <v>180</v>
      </c>
      <c r="E30" s="9">
        <f>D30+1.5</f>
        <v/>
      </c>
      <c r="F30" s="9">
        <f>D30-1.5</f>
        <v/>
      </c>
      <c r="G30" s="24" t="n">
        <v>180.37</v>
      </c>
      <c r="H30" s="6">
        <f>IF(OR(K30&gt;E30,K30&lt;F30),"FAIL","PASS")</f>
        <v/>
      </c>
      <c r="I30" s="7">
        <f>G30-D30</f>
        <v/>
      </c>
      <c r="J30" s="8">
        <f>IF(G30&gt;300,G30-360,0)</f>
        <v/>
      </c>
      <c r="K30" s="8">
        <f>IF(J30=0,G30,J30)</f>
        <v/>
      </c>
    </row>
    <row r="31" ht="15" customHeight="1">
      <c r="A31" s="2" t="n">
        <v>4</v>
      </c>
      <c r="B31" s="2" t="n">
        <v>115</v>
      </c>
      <c r="C31" s="2" t="n">
        <v>156</v>
      </c>
      <c r="D31" s="3" t="n">
        <v>210</v>
      </c>
      <c r="E31" s="9">
        <f>D31+1.5</f>
        <v/>
      </c>
      <c r="F31" s="9">
        <f>D31-1.5</f>
        <v/>
      </c>
      <c r="G31" s="24" t="n">
        <v>210.03</v>
      </c>
      <c r="H31" s="6">
        <f>IF(OR(K31&gt;E31,K31&lt;F31),"FAIL","PASS")</f>
        <v/>
      </c>
      <c r="I31" s="7">
        <f>G31-D31</f>
        <v/>
      </c>
      <c r="J31" s="8">
        <f>IF(G31&gt;300,G31-360,0)</f>
        <v/>
      </c>
      <c r="K31" s="8">
        <f>IF(J31=0,G31,J31)</f>
        <v/>
      </c>
    </row>
    <row r="32" ht="15" customHeight="1">
      <c r="A32" s="2" t="n">
        <v>3</v>
      </c>
      <c r="B32" s="2" t="n">
        <v>64</v>
      </c>
      <c r="C32" s="2" t="n">
        <v>318</v>
      </c>
      <c r="D32" s="3" t="n">
        <v>240</v>
      </c>
      <c r="E32" s="9">
        <f>D32+1.5</f>
        <v/>
      </c>
      <c r="F32" s="9">
        <f>D32-1.5</f>
        <v/>
      </c>
      <c r="G32" s="24" t="n">
        <v>240.12</v>
      </c>
      <c r="H32" s="6">
        <f>IF(OR(K32&gt;E32,K32&lt;F32),"FAIL","PASS")</f>
        <v/>
      </c>
      <c r="I32" s="7">
        <f>G32-D32</f>
        <v/>
      </c>
      <c r="J32" s="8">
        <f>IF(G32&gt;300,G32-360,0)</f>
        <v/>
      </c>
      <c r="K32" s="8">
        <f>IF(J32=0,G32,J32)</f>
        <v/>
      </c>
    </row>
    <row r="33" ht="15" customHeight="1">
      <c r="A33" s="2" t="n">
        <v>2</v>
      </c>
      <c r="B33" s="2" t="n">
        <v>14</v>
      </c>
      <c r="C33" s="2" t="n">
        <v>132</v>
      </c>
      <c r="D33" s="3" t="n">
        <v>270</v>
      </c>
      <c r="E33" s="9">
        <f>D33+1.5</f>
        <v/>
      </c>
      <c r="F33" s="9">
        <f>D33-1.5</f>
        <v/>
      </c>
      <c r="G33" s="24" t="n">
        <v>269.74</v>
      </c>
      <c r="H33" s="6">
        <f>IF(OR(K33&gt;E33,K33&lt;F33),"FAIL","PASS")</f>
        <v/>
      </c>
      <c r="I33" s="7">
        <f>G33-D33</f>
        <v/>
      </c>
      <c r="J33" s="8">
        <f>IF(G33&gt;300,G33-360,0)</f>
        <v/>
      </c>
      <c r="K33" s="8">
        <f>IF(J33=0,G33,J33)</f>
        <v/>
      </c>
    </row>
    <row r="34" ht="15" customHeight="1">
      <c r="A34" s="2" t="n">
        <v>1</v>
      </c>
      <c r="B34" s="2" t="n">
        <v>0</v>
      </c>
      <c r="C34" s="2" t="n">
        <v>0</v>
      </c>
      <c r="D34" s="3" t="n">
        <v>277</v>
      </c>
      <c r="E34" s="4">
        <f>D34+1.5</f>
        <v/>
      </c>
      <c r="F34" s="4">
        <f>D34-1.5</f>
        <v/>
      </c>
      <c r="G34" s="24" t="n">
        <v>276.55</v>
      </c>
      <c r="H34" s="6">
        <f>IF(OR(K34&gt;E34,K34&lt;F34),"FAIL","PASS")</f>
        <v/>
      </c>
      <c r="I34" s="7">
        <f>G34-D34</f>
        <v/>
      </c>
      <c r="J34" s="8">
        <f>IF(G34&gt;300,G34-360,0)</f>
        <v/>
      </c>
      <c r="K34" s="8">
        <f>IF(J34=0,G34,J34)</f>
        <v/>
      </c>
    </row>
  </sheetData>
  <mergeCells count="22">
    <mergeCell ref="F4:G4"/>
    <mergeCell ref="H9:H10"/>
    <mergeCell ref="J9:J10"/>
    <mergeCell ref="F6:G6"/>
    <mergeCell ref="F3:G3"/>
    <mergeCell ref="D6:E6"/>
    <mergeCell ref="C9:C10"/>
    <mergeCell ref="E9:E10"/>
    <mergeCell ref="A2:I2"/>
    <mergeCell ref="F5:G5"/>
    <mergeCell ref="B9:B10"/>
    <mergeCell ref="A7:I8"/>
    <mergeCell ref="D9:D10"/>
    <mergeCell ref="F9:F10"/>
    <mergeCell ref="D4:E4"/>
    <mergeCell ref="D3:E3"/>
    <mergeCell ref="G9:G10"/>
    <mergeCell ref="I9:I10"/>
    <mergeCell ref="K9:K10"/>
    <mergeCell ref="A9:A10"/>
    <mergeCell ref="D5:E5"/>
    <mergeCell ref="A1:I1"/>
  </mergeCells>
  <conditionalFormatting sqref="H11:H21">
    <cfRule type="containsText" priority="11" operator="containsText" dxfId="5" text="PASS">
      <formula>NOT(ISERROR(SEARCH("PASS",H11)))</formula>
    </cfRule>
    <cfRule type="containsText" priority="12" operator="containsText" dxfId="4" text="FAIL">
      <formula>NOT(ISERROR(SEARCH("FAIL",H11)))</formula>
    </cfRule>
  </conditionalFormatting>
  <conditionalFormatting sqref="H24:H34">
    <cfRule type="containsText" priority="1" operator="containsText" dxfId="5" text="PASS">
      <formula>NOT(ISERROR(SEARCH("PASS",H24)))</formula>
    </cfRule>
    <cfRule type="containsText" priority="2" operator="containsText" dxfId="4" text="FAIL">
      <formula>NOT(ISERROR(SEARCH("FAIL",H24)))</formula>
    </cfRule>
  </conditionalFormatting>
  <conditionalFormatting sqref="I11:I21">
    <cfRule type="expression" priority="7" dxfId="3">
      <formula>I11&lt;0</formula>
    </cfRule>
    <cfRule type="expression" priority="8" dxfId="2">
      <formula>I11&gt;1.5</formula>
    </cfRule>
    <cfRule type="expression" priority="9" dxfId="1">
      <formula>I11&gt;0</formula>
    </cfRule>
    <cfRule type="expression" priority="10" dxfId="0">
      <formula>I11&lt;-1.5</formula>
    </cfRule>
  </conditionalFormatting>
  <conditionalFormatting sqref="I24:I34">
    <cfRule type="expression" priority="3" dxfId="3">
      <formula>I24&lt;0</formula>
    </cfRule>
    <cfRule type="expression" priority="4" dxfId="2">
      <formula>I24&gt;1.5</formula>
    </cfRule>
    <cfRule type="expression" priority="5" dxfId="1">
      <formula>I24&gt;0</formula>
    </cfRule>
    <cfRule type="expression" priority="6" dxfId="0">
      <formula>I24&lt;-1.5</formula>
    </cfRule>
  </conditionalFormatting>
  <dataValidations count="1">
    <dataValidation sqref="G12" showDropDown="0" showInputMessage="1" showErrorMessage="1" allowBlank="0" errorTitle="Multiple Result Occur" error="Please input ONLY column RESULT or FINAL RESULT" errorStyle="warning"/>
  </dataValidations>
  <pageMargins left="0.7" right="0.7" top="0.75" bottom="0.75" header="0.3" footer="0.3"/>
  <pageSetup orientation="portrait" paperSize="9"/>
  <headerFooter differentFirst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4"/>
  <sheetViews>
    <sheetView view="pageLayout" zoomScale="93" zoomScaleNormal="100" zoomScalePageLayoutView="93" workbookViewId="0">
      <selection activeCell="F6" sqref="F6:G6"/>
    </sheetView>
  </sheetViews>
  <sheetFormatPr baseColWidth="8" defaultRowHeight="12.75" outlineLevelCol="0"/>
  <cols>
    <col width="6.5703125" customWidth="1" style="1" min="1" max="1"/>
    <col width="8" customWidth="1" style="1" min="2" max="2"/>
    <col width="8.140625" customWidth="1" style="1" min="3" max="3"/>
    <col width="14.42578125" customWidth="1" style="1" min="4" max="4"/>
    <col width="8.42578125" customWidth="1" style="1" min="5" max="5"/>
    <col width="10.42578125" customWidth="1" style="1" min="6" max="6"/>
    <col width="9.140625" customWidth="1" style="1" min="7" max="8"/>
    <col width="13" bestFit="1" customWidth="1" style="1" min="9" max="9"/>
    <col hidden="1" width="8.7109375" customWidth="1" style="1" min="10" max="10"/>
    <col width="9.28515625" bestFit="1" customWidth="1" style="1" min="11" max="11"/>
    <col width="9.140625" customWidth="1" style="1" min="12" max="16384"/>
  </cols>
  <sheetData>
    <row r="1" ht="15.75" customHeight="1">
      <c r="A1" s="51" t="inlineStr">
        <is>
          <t>RESULT RECORD SHEET</t>
        </is>
      </c>
      <c r="B1" s="52" t="n"/>
      <c r="C1" s="52" t="n"/>
      <c r="D1" s="52" t="n"/>
      <c r="E1" s="52" t="n"/>
      <c r="F1" s="52" t="n"/>
      <c r="G1" s="52" t="n"/>
      <c r="H1" s="52" t="n"/>
      <c r="I1" s="53" t="n"/>
    </row>
    <row r="2" ht="15.75" customHeight="1">
      <c r="A2" s="54" t="inlineStr">
        <is>
          <t>FOR TESTING FLAP POSITION SENSOR</t>
        </is>
      </c>
      <c r="I2" s="55" t="n"/>
    </row>
    <row r="3" ht="12.75" customHeight="1">
      <c r="A3" s="17" t="n"/>
      <c r="B3" s="18" t="n"/>
      <c r="D3" s="35" t="inlineStr">
        <is>
          <t>Description</t>
        </is>
      </c>
      <c r="F3" s="36" t="inlineStr">
        <is>
          <t>Flap Position Sensor</t>
        </is>
      </c>
      <c r="H3" s="18" t="n"/>
      <c r="I3" s="19" t="n"/>
    </row>
    <row r="4">
      <c r="A4" s="17" t="n"/>
      <c r="B4" s="18" t="n"/>
      <c r="D4" s="35" t="inlineStr">
        <is>
          <t>Part Number</t>
        </is>
      </c>
      <c r="F4" s="36" t="inlineStr">
        <is>
          <t>18-1738-12</t>
        </is>
      </c>
      <c r="H4" s="18" t="n"/>
      <c r="I4" s="19" t="n"/>
    </row>
    <row r="5">
      <c r="A5" s="17" t="n"/>
      <c r="B5" s="18" t="n"/>
      <c r="D5" s="35" t="inlineStr">
        <is>
          <t>Serial Number</t>
        </is>
      </c>
      <c r="F5" s="36" t="n">
        <v>2708</v>
      </c>
      <c r="H5" s="18" t="n"/>
      <c r="I5" s="19" t="n"/>
    </row>
    <row r="6">
      <c r="A6" s="20" t="n"/>
      <c r="B6" s="21" t="n"/>
      <c r="C6" s="22" t="n"/>
      <c r="D6" s="38" t="inlineStr">
        <is>
          <t>Work Order</t>
        </is>
      </c>
      <c r="E6" s="56" t="n"/>
      <c r="F6" s="39" t="n">
        <v>512225469</v>
      </c>
      <c r="G6" s="56" t="n"/>
      <c r="H6" s="21" t="n"/>
      <c r="I6" s="23" t="n"/>
    </row>
    <row r="7">
      <c r="A7" s="57" t="inlineStr">
        <is>
          <t>CAM OUTPUT AUTOPILOT</t>
        </is>
      </c>
      <c r="B7" s="52" t="n"/>
      <c r="C7" s="52" t="n"/>
      <c r="D7" s="52" t="n"/>
      <c r="E7" s="52" t="n"/>
      <c r="F7" s="52" t="n"/>
      <c r="G7" s="52" t="n"/>
      <c r="H7" s="52" t="n"/>
      <c r="I7" s="52" t="n"/>
    </row>
    <row r="8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</row>
    <row r="9" ht="12.75" customHeight="1">
      <c r="A9" s="42" t="inlineStr">
        <is>
          <t>TEST POINT</t>
        </is>
      </c>
      <c r="B9" s="42" t="inlineStr">
        <is>
          <t>INPUT TURNS</t>
        </is>
      </c>
      <c r="C9" s="42" t="inlineStr">
        <is>
          <t>SHAFT ANGLE</t>
        </is>
      </c>
      <c r="D9" s="45" t="inlineStr">
        <is>
          <t>SYNCRO ELECT. OUTPUT</t>
        </is>
      </c>
      <c r="E9" s="45" t="inlineStr">
        <is>
          <t>TOP LIMIT</t>
        </is>
      </c>
      <c r="F9" s="45" t="inlineStr">
        <is>
          <t>BOTTOM LIMIT</t>
        </is>
      </c>
      <c r="G9" s="45" t="inlineStr">
        <is>
          <t>RESULT</t>
        </is>
      </c>
      <c r="H9" s="42" t="inlineStr">
        <is>
          <t>REMARK</t>
        </is>
      </c>
      <c r="I9" s="58" t="inlineStr">
        <is>
          <t>DIFFERENCE</t>
        </is>
      </c>
      <c r="J9" s="37" t="inlineStr">
        <is>
          <t>REFERENCE</t>
        </is>
      </c>
      <c r="K9" s="37" t="inlineStr">
        <is>
          <t>REAL VALUE</t>
        </is>
      </c>
    </row>
    <row r="10">
      <c r="A10" s="59" t="n"/>
      <c r="B10" s="59" t="n"/>
      <c r="C10" s="59" t="n"/>
      <c r="D10" s="59" t="n"/>
      <c r="E10" s="59" t="n"/>
      <c r="F10" s="59" t="n"/>
      <c r="G10" s="59" t="n"/>
      <c r="H10" s="59" t="n"/>
      <c r="I10" s="59" t="n"/>
    </row>
    <row r="11" ht="15" customHeight="1">
      <c r="A11" s="11" t="inlineStr">
        <is>
          <t>1 (Rig)</t>
        </is>
      </c>
      <c r="B11" s="12" t="n">
        <v>0</v>
      </c>
      <c r="C11" s="13" t="n">
        <v>0</v>
      </c>
      <c r="D11" s="4" t="n">
        <v>277</v>
      </c>
      <c r="E11" s="4">
        <f>D11+1.5</f>
        <v/>
      </c>
      <c r="F11" s="4">
        <f>D11-1.5</f>
        <v/>
      </c>
      <c r="G11" s="24" t="n">
        <v>276.67</v>
      </c>
      <c r="H11" s="6">
        <f>IF(OR(K11&gt;E11,K11&lt;F11),"FAIL","PASS")</f>
        <v/>
      </c>
      <c r="I11" s="7">
        <f>G11-D11</f>
        <v/>
      </c>
      <c r="J11" s="8">
        <f>IF(G11&gt;300,G11-360,0)</f>
        <v/>
      </c>
      <c r="K11" s="8">
        <f>IF(J11=0,G11,J11)</f>
        <v/>
      </c>
    </row>
    <row r="12" ht="15" customHeight="1">
      <c r="A12" s="12" t="n">
        <v>2</v>
      </c>
      <c r="B12" s="12" t="n">
        <v>2</v>
      </c>
      <c r="C12" s="12" t="n">
        <v>172</v>
      </c>
      <c r="D12" s="5" t="n">
        <v>276.3</v>
      </c>
      <c r="E12" s="9">
        <f>D12+1.5</f>
        <v/>
      </c>
      <c r="F12" s="9">
        <f>D12-1.5</f>
        <v/>
      </c>
      <c r="G12" s="24" t="n">
        <v>275.91</v>
      </c>
      <c r="H12" s="6">
        <f>IF(OR(K12&gt;E12,K12&lt;F12),"FAIL","PASS")</f>
        <v/>
      </c>
      <c r="I12" s="7">
        <f>G12-D12</f>
        <v/>
      </c>
      <c r="J12" s="8">
        <f>IF(G12&gt;300,G12-360,0)</f>
        <v/>
      </c>
      <c r="K12" s="8">
        <f>IF(J12=0,G12,J12)</f>
        <v/>
      </c>
    </row>
    <row r="13" ht="15" customHeight="1">
      <c r="A13" s="12" t="n">
        <v>3</v>
      </c>
      <c r="B13" s="12" t="n">
        <v>4</v>
      </c>
      <c r="C13" s="12" t="n">
        <v>344</v>
      </c>
      <c r="D13" s="14" t="n">
        <v>275.41</v>
      </c>
      <c r="E13" s="9">
        <f>D13+1.5</f>
        <v/>
      </c>
      <c r="F13" s="9">
        <f>D13-1.5</f>
        <v/>
      </c>
      <c r="G13" s="24" t="n">
        <v>274.92</v>
      </c>
      <c r="H13" s="6">
        <f>IF(OR(K13&gt;E13,K13&lt;F13),"FAIL","PASS")</f>
        <v/>
      </c>
      <c r="I13" s="7">
        <f>G13-D13</f>
        <v/>
      </c>
      <c r="J13" s="8">
        <f>IF(G13&gt;300,G13-360,0)</f>
        <v/>
      </c>
      <c r="K13" s="8">
        <f>IF(J13=0,G13,J13)</f>
        <v/>
      </c>
    </row>
    <row r="14" ht="15" customHeight="1">
      <c r="A14" s="12" t="n">
        <v>4</v>
      </c>
      <c r="B14" s="12" t="n">
        <v>7</v>
      </c>
      <c r="C14" s="12" t="n">
        <v>155</v>
      </c>
      <c r="D14" s="14" t="n">
        <v>274.29</v>
      </c>
      <c r="E14" s="9">
        <f>D14+1.5</f>
        <v/>
      </c>
      <c r="F14" s="9">
        <f>D14-1.5</f>
        <v/>
      </c>
      <c r="G14" s="24" t="n">
        <v>273.88</v>
      </c>
      <c r="H14" s="6">
        <f>IF(OR(K14&gt;E14,K14&lt;F14),"FAIL","PASS")</f>
        <v/>
      </c>
      <c r="I14" s="7">
        <f>G14-D14</f>
        <v/>
      </c>
      <c r="J14" s="8">
        <f>IF(G14&gt;300,G14-360,0)</f>
        <v/>
      </c>
      <c r="K14" s="8">
        <f>IF(J14=0,G14,J14)</f>
        <v/>
      </c>
    </row>
    <row r="15" ht="15" customHeight="1">
      <c r="A15" s="12" t="n">
        <v>5</v>
      </c>
      <c r="B15" s="12" t="n">
        <v>9</v>
      </c>
      <c r="C15" s="12" t="n">
        <v>327</v>
      </c>
      <c r="D15" s="5" t="n">
        <v>273.05</v>
      </c>
      <c r="E15" s="9">
        <f>D15+1.5</f>
        <v/>
      </c>
      <c r="F15" s="9">
        <f>D15-1.5</f>
        <v/>
      </c>
      <c r="G15" s="24" t="n">
        <v>272.71</v>
      </c>
      <c r="H15" s="6">
        <f>IF(OR(K15&gt;E15,K15&lt;F15),"FAIL","PASS")</f>
        <v/>
      </c>
      <c r="I15" s="7">
        <f>G15-D15</f>
        <v/>
      </c>
      <c r="J15" s="8">
        <f>IF(G15&gt;300,G15-360,0)</f>
        <v/>
      </c>
      <c r="K15" s="8">
        <f>IF(J15=0,G15,J15)</f>
        <v/>
      </c>
    </row>
    <row r="16" ht="15" customHeight="1">
      <c r="A16" s="12" t="n">
        <v>6</v>
      </c>
      <c r="B16" s="12" t="n">
        <v>12</v>
      </c>
      <c r="C16" s="12" t="n">
        <v>139</v>
      </c>
      <c r="D16" s="5" t="n">
        <v>271.47</v>
      </c>
      <c r="E16" s="9">
        <f>D16+1.5</f>
        <v/>
      </c>
      <c r="F16" s="9">
        <f>D16-1.5</f>
        <v/>
      </c>
      <c r="G16" s="24" t="n">
        <v>271.18</v>
      </c>
      <c r="H16" s="6">
        <f>IF(OR(K16&gt;E16,K16&lt;F16),"FAIL","PASS")</f>
        <v/>
      </c>
      <c r="I16" s="7">
        <f>G16-D16</f>
        <v/>
      </c>
      <c r="J16" s="8">
        <f>IF(G16&gt;300,G16-360,0)</f>
        <v/>
      </c>
      <c r="K16" s="8">
        <f>IF(J16=0,G16,J16)</f>
        <v/>
      </c>
    </row>
    <row r="17" ht="15" customHeight="1">
      <c r="A17" s="12" t="n">
        <v>7</v>
      </c>
      <c r="B17" s="12" t="n">
        <v>14</v>
      </c>
      <c r="C17" s="12" t="n">
        <v>132</v>
      </c>
      <c r="D17" s="5" t="n">
        <v>270</v>
      </c>
      <c r="E17" s="9">
        <f>D17+1.5</f>
        <v/>
      </c>
      <c r="F17" s="9">
        <f>D17-1.5</f>
        <v/>
      </c>
      <c r="G17" s="24" t="n">
        <v>269.96</v>
      </c>
      <c r="H17" s="6">
        <f>IF(OR(K17&gt;E17,K17&lt;F17),"FAIL","PASS")</f>
        <v/>
      </c>
      <c r="I17" s="7">
        <f>G17-D17</f>
        <v/>
      </c>
      <c r="J17" s="8">
        <f>IF(G17&gt;300,G17-360,0)</f>
        <v/>
      </c>
      <c r="K17" s="8">
        <f>IF(J17=0,G17,J17)</f>
        <v/>
      </c>
    </row>
    <row r="18" ht="15" customHeight="1">
      <c r="A18" s="12" t="n">
        <v>8</v>
      </c>
      <c r="B18" s="12" t="n">
        <v>14</v>
      </c>
      <c r="C18" s="12" t="n">
        <v>311</v>
      </c>
      <c r="D18" s="5" t="n">
        <v>268.77</v>
      </c>
      <c r="E18" s="9">
        <f>D18+1.5</f>
        <v/>
      </c>
      <c r="F18" s="9">
        <f>D18-1.5</f>
        <v/>
      </c>
      <c r="G18" s="24" t="n">
        <v>269.63</v>
      </c>
      <c r="H18" s="6">
        <f>IF(OR(K18&gt;E18,K18&lt;F18),"FAIL","PASS")</f>
        <v/>
      </c>
      <c r="I18" s="7">
        <f>G18-D18</f>
        <v/>
      </c>
      <c r="J18" s="8">
        <f>IF(G18&gt;300,G18-360,0)</f>
        <v/>
      </c>
      <c r="K18" s="8">
        <f>IF(J18=0,G18,J18)</f>
        <v/>
      </c>
    </row>
    <row r="19" ht="15" customHeight="1">
      <c r="A19" s="12" t="n">
        <v>9</v>
      </c>
      <c r="B19" s="12" t="n">
        <v>17</v>
      </c>
      <c r="C19" s="11" t="n">
        <v>122</v>
      </c>
      <c r="D19" s="5" t="n">
        <v>268.29</v>
      </c>
      <c r="E19" s="9">
        <f>D19+1.5</f>
        <v/>
      </c>
      <c r="F19" s="9">
        <f>D19-1.5</f>
        <v/>
      </c>
      <c r="G19" s="24" t="n">
        <v>268.06</v>
      </c>
      <c r="H19" s="6">
        <f>IF(OR(K19&gt;E19,K19&lt;F19),"FAIL","PASS")</f>
        <v/>
      </c>
      <c r="I19" s="7">
        <f>G19-D19</f>
        <v/>
      </c>
      <c r="J19" s="8">
        <f>IF(G19&gt;300,G19-360,0)</f>
        <v/>
      </c>
      <c r="K19" s="8">
        <f>IF(J19=0,G19,J19)</f>
        <v/>
      </c>
    </row>
    <row r="20" ht="15" customHeight="1">
      <c r="A20" s="12" t="n">
        <v>10</v>
      </c>
      <c r="B20" s="12" t="n">
        <v>19</v>
      </c>
      <c r="C20" s="12" t="n">
        <v>294</v>
      </c>
      <c r="D20" s="5" t="n">
        <v>266.91</v>
      </c>
      <c r="E20" s="9">
        <f>D20+1.5</f>
        <v/>
      </c>
      <c r="F20" s="9">
        <f>D20-1.5</f>
        <v/>
      </c>
      <c r="G20" s="24" t="n">
        <v>266.74</v>
      </c>
      <c r="H20" s="6">
        <f>IF(OR(K20&gt;E20,K20&lt;F20),"FAIL","PASS")</f>
        <v/>
      </c>
      <c r="I20" s="7">
        <f>G20-D20</f>
        <v/>
      </c>
      <c r="J20" s="8">
        <f>IF(G20&gt;300,G20-360,0)</f>
        <v/>
      </c>
      <c r="K20" s="8">
        <f>IF(J20=0,G20,J20)</f>
        <v/>
      </c>
    </row>
    <row r="21" ht="15" customHeight="1">
      <c r="A21" s="12" t="n">
        <v>11</v>
      </c>
      <c r="B21" s="12" t="n">
        <v>22</v>
      </c>
      <c r="C21" s="12" t="n">
        <v>106</v>
      </c>
      <c r="D21" s="5" t="n">
        <v>265.49</v>
      </c>
      <c r="E21" s="9">
        <f>D21+1.5</f>
        <v/>
      </c>
      <c r="F21" s="9">
        <f>D21-1.5</f>
        <v/>
      </c>
      <c r="G21" s="24" t="n">
        <v>265.3</v>
      </c>
      <c r="H21" s="6">
        <f>IF(OR(K21&gt;E21,K21&lt;F21),"FAIL","PASS")</f>
        <v/>
      </c>
      <c r="I21" s="7">
        <f>G21-D21</f>
        <v/>
      </c>
      <c r="J21" s="8">
        <f>IF(G21&gt;300,G21-360,0)</f>
        <v/>
      </c>
      <c r="K21" s="8">
        <f>IF(J21=0,G21,J21)</f>
        <v/>
      </c>
    </row>
    <row r="22" ht="15" customHeight="1">
      <c r="A22" s="12" t="n">
        <v>12</v>
      </c>
      <c r="B22" s="12" t="n">
        <v>24</v>
      </c>
      <c r="C22" s="12" t="n">
        <v>278</v>
      </c>
      <c r="D22" s="5" t="n">
        <v>264.06</v>
      </c>
      <c r="E22" s="9">
        <f>D22+1.5</f>
        <v/>
      </c>
      <c r="F22" s="9">
        <f>D22-1.5</f>
        <v/>
      </c>
      <c r="G22" s="24" t="n">
        <v>263.76</v>
      </c>
      <c r="H22" s="6">
        <f>IF(OR(K22&gt;E22,K22&lt;F22),"FAIL","PASS")</f>
        <v/>
      </c>
      <c r="I22" s="7">
        <f>G22-D22</f>
        <v/>
      </c>
      <c r="J22" s="8">
        <f>IF(G22&gt;300,G22-360,0)</f>
        <v/>
      </c>
      <c r="K22" s="8">
        <f>IF(J22=0,G22,J22)</f>
        <v/>
      </c>
    </row>
    <row r="23" ht="15" customHeight="1">
      <c r="A23" s="12" t="n">
        <v>13</v>
      </c>
      <c r="B23" s="12" t="n">
        <v>27</v>
      </c>
      <c r="C23" s="12" t="n">
        <v>89</v>
      </c>
      <c r="D23" s="5" t="n">
        <v>262.61</v>
      </c>
      <c r="E23" s="9">
        <f>D23+1.5</f>
        <v/>
      </c>
      <c r="F23" s="9">
        <f>D23-1.5</f>
        <v/>
      </c>
      <c r="G23" s="24" t="n">
        <v>262.34</v>
      </c>
      <c r="H23" s="6">
        <f>IF(OR(K23&gt;E23,K23&lt;F23),"FAIL","PASS")</f>
        <v/>
      </c>
      <c r="I23" s="7">
        <f>G23-D23</f>
        <v/>
      </c>
      <c r="J23" s="8">
        <f>IF(G23&gt;300,G23-360,0)</f>
        <v/>
      </c>
      <c r="K23" s="8">
        <f>IF(J23=0,G23,J23)</f>
        <v/>
      </c>
    </row>
    <row r="24" ht="15" customHeight="1">
      <c r="A24" s="12" t="n">
        <v>14</v>
      </c>
      <c r="B24" s="12" t="n">
        <v>29</v>
      </c>
      <c r="C24" s="12" t="n">
        <v>261</v>
      </c>
      <c r="D24" s="5" t="n">
        <v>261.15</v>
      </c>
      <c r="E24" s="9">
        <f>D24+1.5</f>
        <v/>
      </c>
      <c r="F24" s="9">
        <f>D24-1.5</f>
        <v/>
      </c>
      <c r="G24" s="24" t="n">
        <v>260.88</v>
      </c>
      <c r="H24" s="6">
        <f>IF(OR(K24&gt;E24,K24&lt;F24),"FAIL","PASS")</f>
        <v/>
      </c>
      <c r="I24" s="7">
        <f>G24-D24</f>
        <v/>
      </c>
      <c r="J24" s="8">
        <f>IF(G24&gt;300,G24-360,0)</f>
        <v/>
      </c>
      <c r="K24" s="8">
        <f>IF(J24=0,G24,J24)</f>
        <v/>
      </c>
    </row>
    <row r="25" ht="15" customHeight="1">
      <c r="A25" s="12" t="n">
        <v>15</v>
      </c>
      <c r="B25" s="12" t="n">
        <v>32</v>
      </c>
      <c r="C25" s="12" t="n">
        <v>73</v>
      </c>
      <c r="D25" s="5" t="n">
        <v>259.7</v>
      </c>
      <c r="E25" s="9">
        <f>D25+1.5</f>
        <v/>
      </c>
      <c r="F25" s="9">
        <f>D25-1.5</f>
        <v/>
      </c>
      <c r="G25" s="24" t="n">
        <v>259.48</v>
      </c>
      <c r="H25" s="6">
        <f>IF(OR(K25&gt;E25,K25&lt;F25),"FAIL","PASS")</f>
        <v/>
      </c>
      <c r="I25" s="7">
        <f>G25-D25</f>
        <v/>
      </c>
      <c r="J25" s="8">
        <f>IF(G25&gt;300,G25-360,0)</f>
        <v/>
      </c>
      <c r="K25" s="8">
        <f>IF(J25=0,G25,J25)</f>
        <v/>
      </c>
    </row>
    <row r="26" ht="15" customHeight="1">
      <c r="A26" s="12" t="n">
        <v>16</v>
      </c>
      <c r="B26" s="12" t="n">
        <v>34</v>
      </c>
      <c r="C26" s="12" t="n">
        <v>245</v>
      </c>
      <c r="D26" s="5" t="n">
        <v>258.221</v>
      </c>
      <c r="E26" s="9">
        <f>D26+1.5</f>
        <v/>
      </c>
      <c r="F26" s="9">
        <f>D26-1.5</f>
        <v/>
      </c>
      <c r="G26" s="24" t="n">
        <v>257.96</v>
      </c>
      <c r="H26" s="6">
        <f>IF(OR(K26&gt;E26,K26&lt;F26),"FAIL","PASS")</f>
        <v/>
      </c>
      <c r="I26" s="7">
        <f>G26-D26</f>
        <v/>
      </c>
      <c r="J26" s="8">
        <f>IF(G26&gt;300,G26-360,0)</f>
        <v/>
      </c>
      <c r="K26" s="8">
        <f>IF(J26=0,G26,J26)</f>
        <v/>
      </c>
    </row>
    <row r="27" ht="15" customHeight="1">
      <c r="A27" s="12" t="n">
        <v>17</v>
      </c>
      <c r="B27" s="12" t="n">
        <v>37</v>
      </c>
      <c r="C27" s="12" t="n">
        <v>56</v>
      </c>
      <c r="D27" s="5" t="n">
        <v>256.75</v>
      </c>
      <c r="E27" s="9">
        <f>D27+1.5</f>
        <v/>
      </c>
      <c r="F27" s="9">
        <f>D27-1.5</f>
        <v/>
      </c>
      <c r="G27" s="24" t="n">
        <v>256.49</v>
      </c>
      <c r="H27" s="6">
        <f>IF(OR(K27&gt;E27,K27&lt;F27),"FAIL","PASS")</f>
        <v/>
      </c>
      <c r="I27" s="7">
        <f>G27-D27</f>
        <v/>
      </c>
      <c r="J27" s="8">
        <f>IF(G27&gt;300,G27-360,0)</f>
        <v/>
      </c>
      <c r="K27" s="8">
        <f>IF(J27=0,G27,J27)</f>
        <v/>
      </c>
    </row>
    <row r="28" ht="15" customHeight="1">
      <c r="A28" s="12" t="n">
        <v>18</v>
      </c>
      <c r="B28" s="12" t="n">
        <v>39</v>
      </c>
      <c r="C28" s="12" t="n">
        <v>228</v>
      </c>
      <c r="D28" s="5" t="n">
        <v>255.27</v>
      </c>
      <c r="E28" s="9">
        <f>D28+1.5</f>
        <v/>
      </c>
      <c r="F28" s="9">
        <f>D28-1.5</f>
        <v/>
      </c>
      <c r="G28" s="24" t="n">
        <v>255.06</v>
      </c>
      <c r="H28" s="6">
        <f>IF(OR(K28&gt;E28,K28&lt;F28),"FAIL","PASS")</f>
        <v/>
      </c>
      <c r="I28" s="7">
        <f>G28-D28</f>
        <v/>
      </c>
      <c r="J28" s="8">
        <f>IF(G28&gt;300,G28-360,0)</f>
        <v/>
      </c>
      <c r="K28" s="8">
        <f>IF(J28=0,G28,J28)</f>
        <v/>
      </c>
    </row>
    <row r="29" ht="15" customHeight="1">
      <c r="A29" s="12" t="n">
        <v>19</v>
      </c>
      <c r="B29" s="12" t="n">
        <v>42</v>
      </c>
      <c r="C29" s="12" t="n">
        <v>40</v>
      </c>
      <c r="D29" s="5" t="n">
        <v>253.76</v>
      </c>
      <c r="E29" s="9">
        <f>D29+1.5</f>
        <v/>
      </c>
      <c r="F29" s="9">
        <f>D29-1.5</f>
        <v/>
      </c>
      <c r="G29" s="24" t="n">
        <v>253.6</v>
      </c>
      <c r="H29" s="6">
        <f>IF(OR(K29&gt;E29,K29&lt;F29),"FAIL","PASS")</f>
        <v/>
      </c>
      <c r="I29" s="7">
        <f>G29-D29</f>
        <v/>
      </c>
      <c r="J29" s="8">
        <f>IF(G29&gt;300,G29-360,0)</f>
        <v/>
      </c>
      <c r="K29" s="8">
        <f>IF(J29=0,G29,J29)</f>
        <v/>
      </c>
    </row>
    <row r="30" ht="15" customHeight="1">
      <c r="A30" s="12" t="n">
        <v>20</v>
      </c>
      <c r="B30" s="12" t="n">
        <v>44</v>
      </c>
      <c r="C30" s="12" t="n">
        <v>212</v>
      </c>
      <c r="D30" s="5" t="n">
        <v>252.24</v>
      </c>
      <c r="E30" s="9">
        <f>D30+1.5</f>
        <v/>
      </c>
      <c r="F30" s="9">
        <f>D30-1.5</f>
        <v/>
      </c>
      <c r="G30" s="24" t="n">
        <v>252.25</v>
      </c>
      <c r="H30" s="6">
        <f>IF(OR(K30&gt;E30,K30&lt;F30),"FAIL","PASS")</f>
        <v/>
      </c>
      <c r="I30" s="7">
        <f>G30-D30</f>
        <v/>
      </c>
      <c r="J30" s="8">
        <f>IF(G30&gt;300,G30-360,0)</f>
        <v/>
      </c>
      <c r="K30" s="8">
        <f>IF(J30=0,G30,J30)</f>
        <v/>
      </c>
    </row>
    <row r="31" ht="15" customHeight="1">
      <c r="A31" s="12" t="n">
        <v>21</v>
      </c>
      <c r="B31" s="12" t="n">
        <v>47</v>
      </c>
      <c r="C31" s="12" t="n">
        <v>23</v>
      </c>
      <c r="D31" s="5" t="n">
        <v>250.73</v>
      </c>
      <c r="E31" s="9">
        <f>D31+1.5</f>
        <v/>
      </c>
      <c r="F31" s="9">
        <f>D31-1.5</f>
        <v/>
      </c>
      <c r="G31" s="24" t="n">
        <v>250.88</v>
      </c>
      <c r="H31" s="6">
        <f>IF(OR(K31&gt;E31,K31&lt;F31),"FAIL","PASS")</f>
        <v/>
      </c>
      <c r="I31" s="7">
        <f>G31-D31</f>
        <v/>
      </c>
      <c r="J31" s="8">
        <f>IF(G31&gt;300,G31-360,0)</f>
        <v/>
      </c>
      <c r="K31" s="8">
        <f>IF(J31=0,G31,J31)</f>
        <v/>
      </c>
    </row>
    <row r="32" ht="15" customHeight="1">
      <c r="A32" s="12" t="n">
        <v>22</v>
      </c>
      <c r="B32" s="12" t="n">
        <v>49</v>
      </c>
      <c r="C32" s="12" t="n">
        <v>195</v>
      </c>
      <c r="D32" s="5" t="n">
        <v>249.25</v>
      </c>
      <c r="E32" s="9">
        <f>D32+1.5</f>
        <v/>
      </c>
      <c r="F32" s="9">
        <f>D32-1.5</f>
        <v/>
      </c>
      <c r="G32" s="24" t="n">
        <v>249.4</v>
      </c>
      <c r="H32" s="6">
        <f>IF(OR(K32&gt;E32,K32&lt;F32),"FAIL","PASS")</f>
        <v/>
      </c>
      <c r="I32" s="7">
        <f>G32-D32</f>
        <v/>
      </c>
      <c r="J32" s="8">
        <f>IF(G32&gt;300,G32-360,0)</f>
        <v/>
      </c>
      <c r="K32" s="8">
        <f>IF(J32=0,G32,J32)</f>
        <v/>
      </c>
    </row>
    <row r="33" ht="15" customHeight="1">
      <c r="A33" s="12" t="n">
        <v>23</v>
      </c>
      <c r="B33" s="12" t="n">
        <v>52</v>
      </c>
      <c r="C33" s="12" t="n">
        <v>7</v>
      </c>
      <c r="D33" s="5" t="n">
        <v>247.75</v>
      </c>
      <c r="E33" s="9">
        <f>D33+1.5</f>
        <v/>
      </c>
      <c r="F33" s="9">
        <f>D33-1.5</f>
        <v/>
      </c>
      <c r="G33" s="24" t="n">
        <v>247.86</v>
      </c>
      <c r="H33" s="6">
        <f>IF(OR(K33&gt;E33,K33&lt;F33),"FAIL","PASS")</f>
        <v/>
      </c>
      <c r="I33" s="7">
        <f>G33-D33</f>
        <v/>
      </c>
      <c r="J33" s="8">
        <f>IF(G33&gt;300,G33-360,0)</f>
        <v/>
      </c>
      <c r="K33" s="8">
        <f>IF(J33=0,G33,J33)</f>
        <v/>
      </c>
    </row>
    <row r="34" ht="15" customHeight="1">
      <c r="A34" s="12" t="n">
        <v>24</v>
      </c>
      <c r="B34" s="15" t="n">
        <v>54</v>
      </c>
      <c r="C34" s="12" t="n">
        <v>179</v>
      </c>
      <c r="D34" s="5" t="n">
        <v>246.28</v>
      </c>
      <c r="E34" s="9">
        <f>D34+1.5</f>
        <v/>
      </c>
      <c r="F34" s="9">
        <f>D34-1.5</f>
        <v/>
      </c>
      <c r="G34" s="24" t="n">
        <v>246.35</v>
      </c>
      <c r="H34" s="6">
        <f>IF(OR(K34&gt;E34,K34&lt;F34),"FAIL","PASS")</f>
        <v/>
      </c>
      <c r="I34" s="7">
        <f>G34-D34</f>
        <v/>
      </c>
      <c r="J34" s="8">
        <f>IF(G34&gt;300,G34-360,0)</f>
        <v/>
      </c>
      <c r="K34" s="8">
        <f>IF(J34=0,G34,J34)</f>
        <v/>
      </c>
    </row>
    <row r="35" ht="15" customHeight="1">
      <c r="A35" s="12" t="n">
        <v>25</v>
      </c>
      <c r="B35" s="11" t="n">
        <v>56</v>
      </c>
      <c r="C35" s="12" t="n">
        <v>350</v>
      </c>
      <c r="D35" s="5" t="n">
        <v>244.8</v>
      </c>
      <c r="E35" s="9">
        <f>D35+1.5</f>
        <v/>
      </c>
      <c r="F35" s="9">
        <f>D35-1.5</f>
        <v/>
      </c>
      <c r="G35" s="24" t="n">
        <v>244.92</v>
      </c>
      <c r="H35" s="6">
        <f>IF(OR(K35&gt;E35,K35&lt;F35),"FAIL","PASS")</f>
        <v/>
      </c>
      <c r="I35" s="7">
        <f>G35-D35</f>
        <v/>
      </c>
      <c r="J35" s="8">
        <f>IF(G35&gt;300,G35-360,0)</f>
        <v/>
      </c>
      <c r="K35" s="8">
        <f>IF(J35=0,G35,J35)</f>
        <v/>
      </c>
    </row>
    <row r="36" ht="15" customHeight="1">
      <c r="A36" s="12" t="n">
        <v>26</v>
      </c>
      <c r="B36" s="12" t="n">
        <v>59</v>
      </c>
      <c r="C36" s="12" t="n">
        <v>162</v>
      </c>
      <c r="D36" s="5" t="n">
        <v>243.35</v>
      </c>
      <c r="E36" s="9">
        <f>D36+1.5</f>
        <v/>
      </c>
      <c r="F36" s="9">
        <f>D36-1.5</f>
        <v/>
      </c>
      <c r="G36" s="24" t="n">
        <v>243.41</v>
      </c>
      <c r="H36" s="6">
        <f>IF(OR(K36&gt;E36,K36&lt;F36),"FAIL","PASS")</f>
        <v/>
      </c>
      <c r="I36" s="7">
        <f>G36-D36</f>
        <v/>
      </c>
      <c r="J36" s="8">
        <f>IF(G36&gt;300,G36-360,0)</f>
        <v/>
      </c>
      <c r="K36" s="8">
        <f>IF(J36=0,G36,J36)</f>
        <v/>
      </c>
    </row>
    <row r="37" ht="15" customHeight="1">
      <c r="A37" s="12" t="n">
        <v>27</v>
      </c>
      <c r="B37" s="12" t="n">
        <v>61</v>
      </c>
      <c r="C37" s="12" t="n">
        <v>334</v>
      </c>
      <c r="D37" s="5" t="n">
        <v>241.94</v>
      </c>
      <c r="E37" s="9">
        <f>D37+1.5</f>
        <v/>
      </c>
      <c r="F37" s="9">
        <f>D37-1.5</f>
        <v/>
      </c>
      <c r="G37" s="24" t="n">
        <v>241.96</v>
      </c>
      <c r="H37" s="6">
        <f>IF(OR(K37&gt;E37,K37&lt;F37),"FAIL","PASS")</f>
        <v/>
      </c>
      <c r="I37" s="7">
        <f>G37-D37</f>
        <v/>
      </c>
      <c r="J37" s="8">
        <f>IF(G37&gt;300,G37-360,0)</f>
        <v/>
      </c>
      <c r="K37" s="8">
        <f>IF(J37=0,G37,J37)</f>
        <v/>
      </c>
    </row>
    <row r="38" ht="15" customHeight="1">
      <c r="A38" s="12" t="n">
        <v>28</v>
      </c>
      <c r="B38" s="12" t="n">
        <v>64</v>
      </c>
      <c r="C38" s="12" t="n">
        <v>146</v>
      </c>
      <c r="D38" s="5" t="n">
        <v>240.49</v>
      </c>
      <c r="E38" s="9">
        <f>D38+1.5</f>
        <v/>
      </c>
      <c r="F38" s="9">
        <f>D38-1.5</f>
        <v/>
      </c>
      <c r="G38" s="24" t="n">
        <v>240.47</v>
      </c>
      <c r="H38" s="6">
        <f>IF(OR(K38&gt;E38,K38&lt;F38),"FAIL","PASS")</f>
        <v/>
      </c>
      <c r="I38" s="7">
        <f>G38-D38</f>
        <v/>
      </c>
      <c r="J38" s="8">
        <f>IF(G38&gt;300,G38-360,0)</f>
        <v/>
      </c>
      <c r="K38" s="8">
        <f>IF(J38=0,G38,J38)</f>
        <v/>
      </c>
    </row>
    <row r="39" ht="15" customHeight="1">
      <c r="A39" s="12" t="n">
        <v>29</v>
      </c>
      <c r="B39" s="12" t="n">
        <v>64</v>
      </c>
      <c r="C39" s="12" t="n">
        <v>318</v>
      </c>
      <c r="D39" s="5" t="n">
        <v>240</v>
      </c>
      <c r="E39" s="9">
        <f>D39+1.5</f>
        <v/>
      </c>
      <c r="F39" s="9">
        <f>D39-1.5</f>
        <v/>
      </c>
      <c r="G39" s="24" t="n">
        <v>240.19</v>
      </c>
      <c r="H39" s="6">
        <f>IF(OR(K39&gt;E39,K39&lt;F39),"FAIL","PASS")</f>
        <v/>
      </c>
      <c r="I39" s="7">
        <f>G39-D39</f>
        <v/>
      </c>
      <c r="J39" s="8">
        <f>IF(G39&gt;300,G39-360,0)</f>
        <v/>
      </c>
      <c r="K39" s="8">
        <f>IF(J39=0,G39,J39)</f>
        <v/>
      </c>
    </row>
    <row r="40" ht="15" customHeight="1">
      <c r="A40" s="12" t="n">
        <v>30</v>
      </c>
      <c r="B40" s="12" t="n">
        <v>66</v>
      </c>
      <c r="C40" s="12" t="n">
        <v>317</v>
      </c>
      <c r="D40" s="5" t="n">
        <v>239.04</v>
      </c>
      <c r="E40" s="9">
        <f>D40+1.5</f>
        <v/>
      </c>
      <c r="F40" s="9">
        <f>D40-1.5</f>
        <v/>
      </c>
      <c r="G40" s="24" t="n">
        <v>238.99</v>
      </c>
      <c r="H40" s="6">
        <f>IF(OR(K40&gt;E40,K40&lt;F40),"FAIL","PASS")</f>
        <v/>
      </c>
      <c r="I40" s="7">
        <f>G40-D40</f>
        <v/>
      </c>
      <c r="J40" s="8">
        <f>IF(G40&gt;300,G40-360,0)</f>
        <v/>
      </c>
      <c r="K40" s="8">
        <f>IF(J40=0,G40,J40)</f>
        <v/>
      </c>
    </row>
    <row r="41" ht="15" customHeight="1">
      <c r="A41" s="12" t="n">
        <v>31</v>
      </c>
      <c r="B41" s="12" t="n">
        <v>69</v>
      </c>
      <c r="C41" s="11" t="n">
        <v>129</v>
      </c>
      <c r="D41" s="5" t="n">
        <v>237.65</v>
      </c>
      <c r="E41" s="9">
        <f>D41+1.5</f>
        <v/>
      </c>
      <c r="F41" s="9">
        <f>D41-1.5</f>
        <v/>
      </c>
      <c r="G41" s="25" t="n">
        <v>237.6</v>
      </c>
      <c r="H41" s="6">
        <f>IF(OR(K41&gt;E41,K41&lt;F41),"FAIL","PASS")</f>
        <v/>
      </c>
      <c r="I41" s="7">
        <f>G41-D41</f>
        <v/>
      </c>
      <c r="J41" s="8">
        <f>IF(G41&gt;300,G41-360,0)</f>
        <v/>
      </c>
      <c r="K41" s="8">
        <f>IF(J41=0,G41,J41)</f>
        <v/>
      </c>
    </row>
    <row r="42" ht="15" customHeight="1">
      <c r="A42" s="12" t="n">
        <v>32</v>
      </c>
      <c r="B42" s="12" t="n">
        <v>71</v>
      </c>
      <c r="C42" s="11" t="n">
        <v>301</v>
      </c>
      <c r="D42" s="5" t="n">
        <v>236.24</v>
      </c>
      <c r="E42" s="9">
        <f>D42+1.5</f>
        <v/>
      </c>
      <c r="F42" s="9">
        <f>D42-1.5</f>
        <v/>
      </c>
      <c r="G42" s="25" t="n">
        <v>236.19</v>
      </c>
      <c r="H42" s="6">
        <f>IF(OR(K42&gt;E42,K42&lt;F42),"FAIL","PASS")</f>
        <v/>
      </c>
      <c r="I42" s="7">
        <f>G42-D42</f>
        <v/>
      </c>
      <c r="J42" s="8">
        <f>IF(G42&gt;300,G42-360,0)</f>
        <v/>
      </c>
      <c r="K42" s="8">
        <f>IF(J42=0,G42,J42)</f>
        <v/>
      </c>
    </row>
    <row r="43" ht="15" customHeight="1">
      <c r="A43" s="11" t="n">
        <v>33</v>
      </c>
      <c r="B43" s="12" t="n">
        <v>74</v>
      </c>
      <c r="C43" s="11" t="n">
        <v>113</v>
      </c>
      <c r="D43" s="5" t="n">
        <v>234.81</v>
      </c>
      <c r="E43" s="9">
        <f>D43+1.5</f>
        <v/>
      </c>
      <c r="F43" s="9">
        <f>D43-1.5</f>
        <v/>
      </c>
      <c r="G43" s="25" t="n">
        <v>234.77</v>
      </c>
      <c r="H43" s="6">
        <f>IF(OR(K43&gt;E43,K43&lt;F43),"FAIL","PASS")</f>
        <v/>
      </c>
      <c r="I43" s="7">
        <f>G43-D43</f>
        <v/>
      </c>
      <c r="J43" s="8">
        <f>IF(G43&gt;300,G43-360,0)</f>
        <v/>
      </c>
      <c r="K43" s="8">
        <f>IF(J43=0,G43,J43)</f>
        <v/>
      </c>
    </row>
    <row r="44" ht="15" customHeight="1">
      <c r="A44" s="11" t="n">
        <v>34</v>
      </c>
      <c r="B44" s="12" t="n">
        <v>76</v>
      </c>
      <c r="C44" s="11" t="n">
        <v>284</v>
      </c>
      <c r="D44" s="5" t="n">
        <v>233.37</v>
      </c>
      <c r="E44" s="9">
        <f>D44+1.5</f>
        <v/>
      </c>
      <c r="F44" s="9">
        <f>D44-1.5</f>
        <v/>
      </c>
      <c r="G44" s="25" t="n">
        <v>233.38</v>
      </c>
      <c r="H44" s="6">
        <f>IF(OR(K44&gt;E44,K44&lt;F44),"FAIL","PASS")</f>
        <v/>
      </c>
      <c r="I44" s="7">
        <f>G44-D44</f>
        <v/>
      </c>
      <c r="J44" s="8">
        <f>IF(G44&gt;300,G44-360,0)</f>
        <v/>
      </c>
      <c r="K44" s="8">
        <f>IF(J44=0,G44,J44)</f>
        <v/>
      </c>
    </row>
    <row r="45" ht="15" customHeight="1">
      <c r="A45" s="12" t="n">
        <v>35</v>
      </c>
      <c r="B45" s="12" t="n">
        <v>79</v>
      </c>
      <c r="C45" s="11" t="n">
        <v>96</v>
      </c>
      <c r="D45" s="5" t="n">
        <v>231.95</v>
      </c>
      <c r="E45" s="9">
        <f>D45+1.5</f>
        <v/>
      </c>
      <c r="F45" s="9">
        <f>D45-1.5</f>
        <v/>
      </c>
      <c r="G45" s="25" t="n">
        <v>231.9</v>
      </c>
      <c r="H45" s="6">
        <f>IF(OR(K45&gt;E45,K45&lt;F45),"FAIL","PASS")</f>
        <v/>
      </c>
      <c r="I45" s="7">
        <f>G45-D45</f>
        <v/>
      </c>
      <c r="J45" s="8">
        <f>IF(G45&gt;300,G45-360,0)</f>
        <v/>
      </c>
      <c r="K45" s="8">
        <f>IF(J45=0,G45,J45)</f>
        <v/>
      </c>
    </row>
    <row r="46" ht="15" customHeight="1">
      <c r="A46" s="12" t="n">
        <v>36</v>
      </c>
      <c r="B46" s="12" t="n">
        <v>81</v>
      </c>
      <c r="C46" s="11" t="n">
        <v>268</v>
      </c>
      <c r="D46" s="5" t="n">
        <v>230.53</v>
      </c>
      <c r="E46" s="9">
        <f>D46+1.5</f>
        <v/>
      </c>
      <c r="F46" s="9">
        <f>D46-1.5</f>
        <v/>
      </c>
      <c r="G46" s="25" t="n">
        <v>230.48</v>
      </c>
      <c r="H46" s="6">
        <f>IF(OR(K46&gt;E46,K46&lt;F46),"FAIL","PASS")</f>
        <v/>
      </c>
      <c r="I46" s="7">
        <f>G46-D46</f>
        <v/>
      </c>
      <c r="J46" s="8">
        <f>IF(G46&gt;300,G46-360,0)</f>
        <v/>
      </c>
      <c r="K46" s="8">
        <f>IF(J46=0,G46,J46)</f>
        <v/>
      </c>
    </row>
    <row r="47" ht="15" customHeight="1">
      <c r="A47" s="12" t="n">
        <v>37</v>
      </c>
      <c r="B47" s="12" t="n">
        <v>84</v>
      </c>
      <c r="C47" s="11" t="n">
        <v>80</v>
      </c>
      <c r="D47" s="5" t="n">
        <v>229.11</v>
      </c>
      <c r="E47" s="9">
        <f>D47+1.5</f>
        <v/>
      </c>
      <c r="F47" s="9">
        <f>D47-1.5</f>
        <v/>
      </c>
      <c r="G47" s="25" t="n">
        <v>229.09</v>
      </c>
      <c r="H47" s="6">
        <f>IF(OR(K47&gt;E47,K47&lt;F47),"FAIL","PASS")</f>
        <v/>
      </c>
      <c r="I47" s="7">
        <f>G47-D47</f>
        <v/>
      </c>
      <c r="J47" s="8">
        <f>IF(G47&gt;300,G47-360,0)</f>
        <v/>
      </c>
      <c r="K47" s="8">
        <f>IF(J47=0,G47,J47)</f>
        <v/>
      </c>
    </row>
    <row r="48" ht="15" customHeight="1">
      <c r="A48" s="12" t="n">
        <v>38</v>
      </c>
      <c r="B48" s="12" t="n">
        <v>86</v>
      </c>
      <c r="C48" s="11" t="n">
        <v>251</v>
      </c>
      <c r="D48" s="5" t="n">
        <v>227.7</v>
      </c>
      <c r="E48" s="9">
        <f>D48+1.5</f>
        <v/>
      </c>
      <c r="F48" s="9">
        <f>D48-1.5</f>
        <v/>
      </c>
      <c r="G48" s="25" t="n">
        <v>227.68</v>
      </c>
      <c r="H48" s="6">
        <f>IF(OR(K48&gt;E48,K48&lt;F48),"FAIL","PASS")</f>
        <v/>
      </c>
      <c r="I48" s="7">
        <f>G48-D48</f>
        <v/>
      </c>
      <c r="J48" s="8">
        <f>IF(G48&gt;300,G48-360,0)</f>
        <v/>
      </c>
      <c r="K48" s="8">
        <f>IF(J48=0,G48,J48)</f>
        <v/>
      </c>
    </row>
    <row r="49" ht="15" customHeight="1">
      <c r="A49" s="12" t="n">
        <v>39</v>
      </c>
      <c r="B49" s="12" t="n">
        <v>89</v>
      </c>
      <c r="C49" s="11" t="n">
        <v>63</v>
      </c>
      <c r="D49" s="5" t="n">
        <v>226.26</v>
      </c>
      <c r="E49" s="9">
        <f>D49+1.5</f>
        <v/>
      </c>
      <c r="F49" s="9">
        <f>D49-1.5</f>
        <v/>
      </c>
      <c r="G49" s="25" t="n">
        <v>226.22</v>
      </c>
      <c r="H49" s="6">
        <f>IF(OR(K49&gt;E49,K49&lt;F49),"FAIL","PASS")</f>
        <v/>
      </c>
      <c r="I49" s="7">
        <f>G49-D49</f>
        <v/>
      </c>
      <c r="J49" s="8">
        <f>IF(G49&gt;300,G49-360,0)</f>
        <v/>
      </c>
      <c r="K49" s="8">
        <f>IF(J49=0,G49,J49)</f>
        <v/>
      </c>
    </row>
    <row r="50" ht="15" customHeight="1">
      <c r="A50" s="12" t="n">
        <v>40</v>
      </c>
      <c r="B50" s="12" t="n">
        <v>91</v>
      </c>
      <c r="C50" s="11" t="n">
        <v>235</v>
      </c>
      <c r="D50" s="5" t="n">
        <v>224.79</v>
      </c>
      <c r="E50" s="9">
        <f>D50+1.5</f>
        <v/>
      </c>
      <c r="F50" s="9">
        <f>D50-1.5</f>
        <v/>
      </c>
      <c r="G50" s="25" t="n">
        <v>224.72</v>
      </c>
      <c r="H50" s="6">
        <f>IF(OR(K50&gt;E50,K50&lt;F50),"FAIL","PASS")</f>
        <v/>
      </c>
      <c r="I50" s="7">
        <f>G50-D50</f>
        <v/>
      </c>
      <c r="J50" s="8">
        <f>IF(G50&gt;300,G50-360,0)</f>
        <v/>
      </c>
      <c r="K50" s="8">
        <f>IF(J50=0,G50,J50)</f>
        <v/>
      </c>
    </row>
    <row r="51" ht="15" customHeight="1">
      <c r="A51" s="12" t="n">
        <v>41</v>
      </c>
      <c r="B51" s="12" t="n">
        <v>94</v>
      </c>
      <c r="C51" s="11" t="n">
        <v>47</v>
      </c>
      <c r="D51" s="5" t="n">
        <v>223.38</v>
      </c>
      <c r="E51" s="9">
        <f>D51+1.5</f>
        <v/>
      </c>
      <c r="F51" s="9">
        <f>D51-1.5</f>
        <v/>
      </c>
      <c r="G51" s="25" t="n">
        <v>223.32</v>
      </c>
      <c r="H51" s="6">
        <f>IF(OR(K51&gt;E51,K51&lt;F51),"FAIL","PASS")</f>
        <v/>
      </c>
      <c r="I51" s="7">
        <f>G51-D51</f>
        <v/>
      </c>
      <c r="J51" s="8">
        <f>IF(G51&gt;300,G51-360,0)</f>
        <v/>
      </c>
      <c r="K51" s="8">
        <f>IF(J51=0,G51,J51)</f>
        <v/>
      </c>
    </row>
    <row r="52" ht="15" customHeight="1">
      <c r="A52" s="12" t="n">
        <v>42</v>
      </c>
      <c r="B52" s="12" t="n">
        <v>96</v>
      </c>
      <c r="C52" s="11" t="n">
        <v>218</v>
      </c>
      <c r="D52" s="5" t="n">
        <v>221.91</v>
      </c>
      <c r="E52" s="9">
        <f>D52+1.5</f>
        <v/>
      </c>
      <c r="F52" s="9">
        <f>D52-1.5</f>
        <v/>
      </c>
      <c r="G52" s="25" t="n">
        <v>221.88</v>
      </c>
      <c r="H52" s="6">
        <f>IF(OR(K52&gt;E52,K52&lt;F52),"FAIL","PASS")</f>
        <v/>
      </c>
      <c r="I52" s="7">
        <f>G52-D52</f>
        <v/>
      </c>
      <c r="J52" s="8">
        <f>IF(G52&gt;300,G52-360,0)</f>
        <v/>
      </c>
      <c r="K52" s="8">
        <f>IF(J52=0,G52,J52)</f>
        <v/>
      </c>
    </row>
    <row r="53" ht="15" customHeight="1">
      <c r="A53" s="11" t="n">
        <v>43</v>
      </c>
      <c r="B53" s="12" t="n">
        <v>99</v>
      </c>
      <c r="C53" s="11" t="n">
        <v>30</v>
      </c>
      <c r="D53" s="5" t="n">
        <v>220.4</v>
      </c>
      <c r="E53" s="9">
        <f>D53+1.5</f>
        <v/>
      </c>
      <c r="F53" s="9">
        <f>D53-1.5</f>
        <v/>
      </c>
      <c r="G53" s="25" t="n">
        <v>220.32</v>
      </c>
      <c r="H53" s="6">
        <f>IF(OR(K53&gt;E53,K53&lt;F53),"FAIL","PASS")</f>
        <v/>
      </c>
      <c r="I53" s="7">
        <f>G53-D53</f>
        <v/>
      </c>
      <c r="J53" s="8">
        <f>IF(G53&gt;300,G53-360,0)</f>
        <v/>
      </c>
      <c r="K53" s="8">
        <f>IF(J53=0,G53,J53)</f>
        <v/>
      </c>
    </row>
    <row r="54" ht="15" customHeight="1">
      <c r="A54" s="11" t="n">
        <v>44</v>
      </c>
      <c r="B54" s="12" t="n">
        <v>101</v>
      </c>
      <c r="C54" s="11" t="n">
        <v>202</v>
      </c>
      <c r="D54" s="5" t="n">
        <v>218.86</v>
      </c>
      <c r="E54" s="9">
        <f>D54+1.5</f>
        <v/>
      </c>
      <c r="F54" s="9">
        <f>D54-1.5</f>
        <v/>
      </c>
      <c r="G54" s="25" t="n">
        <v>218.84</v>
      </c>
      <c r="H54" s="6">
        <f>IF(OR(K54&gt;E54,K54&lt;F54),"FAIL","PASS")</f>
        <v/>
      </c>
      <c r="I54" s="7">
        <f>G54-D54</f>
        <v/>
      </c>
      <c r="J54" s="8">
        <f>IF(G54&gt;300,G54-360,0)</f>
        <v/>
      </c>
      <c r="K54" s="8">
        <f>IF(J54=0,G54,J54)</f>
        <v/>
      </c>
    </row>
    <row r="55" ht="15" customHeight="1">
      <c r="A55" s="11" t="n">
        <v>45</v>
      </c>
      <c r="B55" s="12" t="n">
        <v>104</v>
      </c>
      <c r="C55" s="11" t="n">
        <v>1.4</v>
      </c>
      <c r="D55" s="16" t="n">
        <v>217.31</v>
      </c>
      <c r="E55" s="9">
        <f>D55+1.5</f>
        <v/>
      </c>
      <c r="F55" s="9">
        <f>D55-1.5</f>
        <v/>
      </c>
      <c r="G55" s="25" t="n">
        <v>217.27</v>
      </c>
      <c r="H55" s="6">
        <f>IF(OR(K55&gt;E55,K55&lt;F55),"FAIL","PASS")</f>
        <v/>
      </c>
      <c r="I55" s="7">
        <f>G55-D55</f>
        <v/>
      </c>
      <c r="J55" s="8">
        <f>IF(G55&gt;300,G55-360,0)</f>
        <v/>
      </c>
      <c r="K55" s="8">
        <f>IF(J55=0,G55,J55)</f>
        <v/>
      </c>
    </row>
    <row r="56" ht="15" customHeight="1">
      <c r="A56" s="12" t="n">
        <v>46</v>
      </c>
      <c r="B56" s="12" t="n">
        <v>106</v>
      </c>
      <c r="C56" s="11" t="n">
        <v>186</v>
      </c>
      <c r="D56" s="5" t="n">
        <v>215.78</v>
      </c>
      <c r="E56" s="9">
        <f>D56+1.5</f>
        <v/>
      </c>
      <c r="F56" s="9">
        <f>D56-1.5</f>
        <v/>
      </c>
      <c r="G56" s="25" t="n">
        <v>215.74</v>
      </c>
      <c r="H56" s="6">
        <f>IF(OR(K56&gt;E56,K56&lt;F56),"FAIL","PASS")</f>
        <v/>
      </c>
      <c r="I56" s="7">
        <f>G56-D56</f>
        <v/>
      </c>
      <c r="J56" s="8">
        <f>IF(G56&gt;300,G56-360,0)</f>
        <v/>
      </c>
      <c r="K56" s="8">
        <f>IF(J56=0,G56,J56)</f>
        <v/>
      </c>
    </row>
    <row r="57" ht="15" customHeight="1">
      <c r="A57" s="11" t="n">
        <v>47</v>
      </c>
      <c r="B57" s="12" t="n">
        <v>108</v>
      </c>
      <c r="C57" s="11" t="n">
        <v>357</v>
      </c>
      <c r="D57" s="5" t="n">
        <v>214.27</v>
      </c>
      <c r="E57" s="9">
        <f>D57+1.5</f>
        <v/>
      </c>
      <c r="F57" s="9">
        <f>D57-1.5</f>
        <v/>
      </c>
      <c r="G57" s="25" t="n">
        <v>214.23</v>
      </c>
      <c r="H57" s="6">
        <f>IF(OR(K57&gt;E57,K57&lt;F57),"FAIL","PASS")</f>
        <v/>
      </c>
      <c r="I57" s="7">
        <f>G57-D57</f>
        <v/>
      </c>
      <c r="J57" s="8">
        <f>IF(G57&gt;300,G57-360,0)</f>
        <v/>
      </c>
      <c r="K57" s="8">
        <f>IF(J57=0,G57,J57)</f>
        <v/>
      </c>
    </row>
    <row r="58" ht="15" customHeight="1">
      <c r="A58" s="12" t="n">
        <v>48</v>
      </c>
      <c r="B58" s="12" t="n">
        <v>111</v>
      </c>
      <c r="C58" s="11" t="n">
        <v>169</v>
      </c>
      <c r="D58" s="5" t="n">
        <v>212.8</v>
      </c>
      <c r="E58" s="9">
        <f>D58+1.5</f>
        <v/>
      </c>
      <c r="F58" s="9">
        <f>D58-1.5</f>
        <v/>
      </c>
      <c r="G58" s="25" t="n">
        <v>212.8</v>
      </c>
      <c r="H58" s="6">
        <f>IF(OR(K58&gt;E58,K58&lt;F58),"FAIL","PASS")</f>
        <v/>
      </c>
      <c r="I58" s="7">
        <f>G58-D58</f>
        <v/>
      </c>
      <c r="J58" s="8">
        <f>IF(G58&gt;300,G58-360,0)</f>
        <v/>
      </c>
      <c r="K58" s="8">
        <f>IF(J58=0,G58,J58)</f>
        <v/>
      </c>
    </row>
    <row r="59" ht="15" customHeight="1">
      <c r="A59" s="12" t="n">
        <v>49</v>
      </c>
      <c r="B59" s="12" t="n">
        <v>113</v>
      </c>
      <c r="C59" s="11" t="n">
        <v>341</v>
      </c>
      <c r="D59" s="5" t="n">
        <v>211.16</v>
      </c>
      <c r="E59" s="9">
        <f>D59+1.5</f>
        <v/>
      </c>
      <c r="F59" s="9">
        <f>D59-1.5</f>
        <v/>
      </c>
      <c r="G59" s="25" t="n">
        <v>211.18</v>
      </c>
      <c r="H59" s="6">
        <f>IF(OR(K59&gt;E59,K59&lt;F59),"FAIL","PASS")</f>
        <v/>
      </c>
      <c r="I59" s="7">
        <f>G59-D59</f>
        <v/>
      </c>
      <c r="J59" s="8">
        <f>IF(G59&gt;300,G59-360,0)</f>
        <v/>
      </c>
      <c r="K59" s="8">
        <f>IF(J59=0,G59,J59)</f>
        <v/>
      </c>
    </row>
    <row r="60" ht="15" customHeight="1">
      <c r="A60" s="12" t="n">
        <v>50</v>
      </c>
      <c r="B60" s="12" t="n">
        <v>115</v>
      </c>
      <c r="C60" s="11" t="n">
        <v>156</v>
      </c>
      <c r="D60" s="5" t="n">
        <v>210</v>
      </c>
      <c r="E60" s="9">
        <f>D60+1.5</f>
        <v/>
      </c>
      <c r="F60" s="9">
        <f>D60-1.5</f>
        <v/>
      </c>
      <c r="G60" s="25" t="n">
        <v>210.09</v>
      </c>
      <c r="H60" s="6">
        <f>IF(OR(K60&gt;E60,K60&lt;F60),"FAIL","PASS")</f>
        <v/>
      </c>
      <c r="I60" s="7">
        <f>G60-D60</f>
        <v/>
      </c>
      <c r="J60" s="8">
        <f>IF(G60&gt;300,G60-360,0)</f>
        <v/>
      </c>
      <c r="K60" s="8">
        <f>IF(J60=0,G60,J60)</f>
        <v/>
      </c>
    </row>
    <row r="61" ht="15" customHeight="1">
      <c r="A61" s="12" t="n">
        <v>51</v>
      </c>
      <c r="B61" s="12" t="n">
        <v>116</v>
      </c>
      <c r="C61" s="11" t="n">
        <v>153</v>
      </c>
      <c r="D61" s="5" t="n">
        <v>209.19</v>
      </c>
      <c r="E61" s="9">
        <f>D61+1.5</f>
        <v/>
      </c>
      <c r="F61" s="9">
        <f>D61-1.5</f>
        <v/>
      </c>
      <c r="G61" s="25" t="n">
        <v>209.33</v>
      </c>
      <c r="H61" s="6">
        <f>IF(OR(K61&gt;E61,K61&lt;F61),"FAIL","PASS")</f>
        <v/>
      </c>
      <c r="I61" s="7">
        <f>G61-D61</f>
        <v/>
      </c>
      <c r="J61" s="8">
        <f>IF(G61&gt;300,G61-360,0)</f>
        <v/>
      </c>
      <c r="K61" s="8">
        <f>IF(J61=0,G61,J61)</f>
        <v/>
      </c>
    </row>
    <row r="62" ht="15" customHeight="1">
      <c r="A62" s="12" t="n">
        <v>52</v>
      </c>
      <c r="B62" s="12" t="n">
        <v>118</v>
      </c>
      <c r="C62" s="11" t="n">
        <v>324</v>
      </c>
      <c r="D62" s="5" t="n">
        <v>206.5</v>
      </c>
      <c r="E62" s="9">
        <f>D62+1.5</f>
        <v/>
      </c>
      <c r="F62" s="9">
        <f>D62-1.5</f>
        <v/>
      </c>
      <c r="G62" s="25" t="n">
        <v>206.62</v>
      </c>
      <c r="H62" s="6">
        <f>IF(OR(K62&gt;E62,K62&lt;F62),"FAIL","PASS")</f>
        <v/>
      </c>
      <c r="I62" s="7">
        <f>G62-D62</f>
        <v/>
      </c>
      <c r="J62" s="8">
        <f>IF(G62&gt;300,G62-360,0)</f>
        <v/>
      </c>
      <c r="K62" s="8">
        <f>IF(J62=0,G62,J62)</f>
        <v/>
      </c>
    </row>
    <row r="63" ht="15" customHeight="1">
      <c r="A63" s="12" t="n">
        <v>53</v>
      </c>
      <c r="B63" s="12" t="n">
        <v>121</v>
      </c>
      <c r="C63" s="11" t="n">
        <v>136</v>
      </c>
      <c r="D63" s="5" t="n">
        <v>203.79</v>
      </c>
      <c r="E63" s="9">
        <f>D63+1.5</f>
        <v/>
      </c>
      <c r="F63" s="9">
        <f>D63-1.5</f>
        <v/>
      </c>
      <c r="G63" s="25" t="n">
        <v>203.95</v>
      </c>
      <c r="H63" s="6">
        <f>IF(OR(K63&gt;E63,K63&lt;F63),"FAIL","PASS")</f>
        <v/>
      </c>
      <c r="I63" s="7">
        <f>G63-D63</f>
        <v/>
      </c>
      <c r="J63" s="8">
        <f>IF(G63&gt;300,G63-360,0)</f>
        <v/>
      </c>
      <c r="K63" s="8">
        <f>IF(J63=0,G63,J63)</f>
        <v/>
      </c>
    </row>
    <row r="64" ht="15" customHeight="1">
      <c r="A64" s="12" t="n">
        <v>54</v>
      </c>
      <c r="B64" s="12" t="n">
        <v>123</v>
      </c>
      <c r="C64" s="11" t="n">
        <v>308</v>
      </c>
      <c r="D64" s="5" t="n">
        <v>201.06</v>
      </c>
      <c r="E64" s="9">
        <f>D64+1.5</f>
        <v/>
      </c>
      <c r="F64" s="9">
        <f>D64-1.5</f>
        <v/>
      </c>
      <c r="G64" s="25" t="n">
        <v>201.17</v>
      </c>
      <c r="H64" s="6">
        <f>IF(OR(K64&gt;E64,K64&lt;F64),"FAIL","PASS")</f>
        <v/>
      </c>
      <c r="I64" s="7">
        <f>G64-D64</f>
        <v/>
      </c>
      <c r="J64" s="8">
        <f>IF(G64&gt;300,G64-360,0)</f>
        <v/>
      </c>
      <c r="K64" s="8">
        <f>IF(J64=0,G64,J64)</f>
        <v/>
      </c>
    </row>
    <row r="65" ht="15" customHeight="1">
      <c r="A65" s="12" t="n">
        <v>55</v>
      </c>
      <c r="B65" s="12" t="n">
        <v>126</v>
      </c>
      <c r="C65" s="11" t="n">
        <v>120</v>
      </c>
      <c r="D65" s="5" t="n">
        <v>198.3</v>
      </c>
      <c r="E65" s="9">
        <f>D65+1.5</f>
        <v/>
      </c>
      <c r="F65" s="9">
        <f>D65-1.5</f>
        <v/>
      </c>
      <c r="G65" s="25" t="n">
        <v>198.36</v>
      </c>
      <c r="H65" s="6">
        <f>IF(OR(K65&gt;E65,K65&lt;F65),"FAIL","PASS")</f>
        <v/>
      </c>
      <c r="I65" s="7">
        <f>G65-D65</f>
        <v/>
      </c>
      <c r="J65" s="8">
        <f>IF(G65&gt;300,G65-360,0)</f>
        <v/>
      </c>
      <c r="K65" s="8">
        <f>IF(J65=0,G65,J65)</f>
        <v/>
      </c>
    </row>
    <row r="66" ht="15" customHeight="1">
      <c r="A66" s="12" t="n">
        <v>56</v>
      </c>
      <c r="B66" s="12" t="n">
        <v>128</v>
      </c>
      <c r="C66" s="11" t="n">
        <v>291</v>
      </c>
      <c r="D66" s="5" t="n">
        <v>195.56</v>
      </c>
      <c r="E66" s="9">
        <f>D66+1.5</f>
        <v/>
      </c>
      <c r="F66" s="9">
        <f>D66-1.5</f>
        <v/>
      </c>
      <c r="G66" s="25" t="n">
        <v>195.56</v>
      </c>
      <c r="H66" s="6">
        <f>IF(OR(K66&gt;E66,K66&lt;F66),"FAIL","PASS")</f>
        <v/>
      </c>
      <c r="I66" s="7">
        <f>G66-D66</f>
        <v/>
      </c>
      <c r="J66" s="8">
        <f>IF(G66&gt;300,G66-360,0)</f>
        <v/>
      </c>
      <c r="K66" s="8">
        <f>IF(J66=0,G66,J66)</f>
        <v/>
      </c>
    </row>
    <row r="67" ht="15" customHeight="1">
      <c r="A67" s="12" t="n">
        <v>57</v>
      </c>
      <c r="B67" s="12" t="n">
        <v>131</v>
      </c>
      <c r="C67" s="11" t="n">
        <v>103</v>
      </c>
      <c r="D67" s="5" t="n">
        <v>192.78</v>
      </c>
      <c r="E67" s="9">
        <f>D67+1.5</f>
        <v/>
      </c>
      <c r="F67" s="9">
        <f>D67-1.5</f>
        <v/>
      </c>
      <c r="G67" s="25" t="n">
        <v>192.82</v>
      </c>
      <c r="H67" s="6">
        <f>IF(OR(K67&gt;E67,K67&lt;F67),"FAIL","PASS")</f>
        <v/>
      </c>
      <c r="I67" s="7">
        <f>G67-D67</f>
        <v/>
      </c>
      <c r="J67" s="8">
        <f>IF(G67&gt;300,G67-360,0)</f>
        <v/>
      </c>
      <c r="K67" s="8">
        <f>IF(J67=0,G67,J67)</f>
        <v/>
      </c>
    </row>
    <row r="68" ht="15" customHeight="1">
      <c r="A68" s="12" t="n">
        <v>58</v>
      </c>
      <c r="B68" s="12" t="n">
        <v>133</v>
      </c>
      <c r="C68" s="11" t="n">
        <v>275</v>
      </c>
      <c r="D68" s="5" t="n">
        <v>189.96</v>
      </c>
      <c r="E68" s="9">
        <f>D68+1.5</f>
        <v/>
      </c>
      <c r="F68" s="9">
        <f>D68-1.5</f>
        <v/>
      </c>
      <c r="G68" s="25" t="n">
        <v>190.05</v>
      </c>
      <c r="H68" s="6">
        <f>IF(OR(K68&gt;E68,K68&lt;F68),"FAIL","PASS")</f>
        <v/>
      </c>
      <c r="I68" s="7">
        <f>G68-D68</f>
        <v/>
      </c>
      <c r="J68" s="8">
        <f>IF(G68&gt;300,G68-360,0)</f>
        <v/>
      </c>
      <c r="K68" s="8">
        <f>IF(J68=0,G68,J68)</f>
        <v/>
      </c>
    </row>
    <row r="69" ht="15" customHeight="1">
      <c r="A69" s="12" t="n">
        <v>59</v>
      </c>
      <c r="B69" s="12" t="n">
        <v>136</v>
      </c>
      <c r="C69" s="11" t="n">
        <v>87</v>
      </c>
      <c r="D69" s="5" t="n">
        <v>187.17</v>
      </c>
      <c r="E69" s="9">
        <f>D69+1.5</f>
        <v/>
      </c>
      <c r="F69" s="9">
        <f>D69-1.5</f>
        <v/>
      </c>
      <c r="G69" s="25" t="n">
        <v>187.3</v>
      </c>
      <c r="H69" s="6">
        <f>IF(OR(K69&gt;E69,K69&lt;F69),"FAIL","PASS")</f>
        <v/>
      </c>
      <c r="I69" s="7">
        <f>G69-D69</f>
        <v/>
      </c>
      <c r="J69" s="8">
        <f>IF(G69&gt;300,G69-360,0)</f>
        <v/>
      </c>
      <c r="K69" s="8">
        <f>IF(J69=0,G69,J69)</f>
        <v/>
      </c>
    </row>
    <row r="70" ht="15" customHeight="1">
      <c r="A70" s="12" t="n">
        <v>60</v>
      </c>
      <c r="B70" s="12" t="n">
        <v>138</v>
      </c>
      <c r="C70" s="11" t="n">
        <v>258</v>
      </c>
      <c r="D70" s="5" t="n">
        <v>184.37</v>
      </c>
      <c r="E70" s="9">
        <f>D70+1.5</f>
        <v/>
      </c>
      <c r="F70" s="9">
        <f>D70-1.5</f>
        <v/>
      </c>
      <c r="G70" s="25" t="n">
        <v>184.61</v>
      </c>
      <c r="H70" s="6">
        <f>IF(OR(K70&gt;E70,K70&lt;F70),"FAIL","PASS")</f>
        <v/>
      </c>
      <c r="I70" s="7">
        <f>G70-D70</f>
        <v/>
      </c>
      <c r="J70" s="8">
        <f>IF(G70&gt;300,G70-360,0)</f>
        <v/>
      </c>
      <c r="K70" s="8">
        <f>IF(J70=0,G70,J70)</f>
        <v/>
      </c>
    </row>
    <row r="71" ht="15" customHeight="1">
      <c r="A71" s="12" t="n">
        <v>61</v>
      </c>
      <c r="B71" s="12" t="n">
        <v>141</v>
      </c>
      <c r="C71" s="12" t="n">
        <v>70</v>
      </c>
      <c r="D71" s="5" t="n">
        <v>181.49</v>
      </c>
      <c r="E71" s="9">
        <f>D71+1.5</f>
        <v/>
      </c>
      <c r="F71" s="9">
        <f>D71-1.5</f>
        <v/>
      </c>
      <c r="G71" s="25" t="n">
        <v>181.75</v>
      </c>
      <c r="H71" s="6">
        <f>IF(OR(K71&gt;E71,K71&lt;F71),"FAIL","PASS")</f>
        <v/>
      </c>
      <c r="I71" s="7">
        <f>G71-D71</f>
        <v/>
      </c>
      <c r="J71" s="8">
        <f>IF(G71&gt;300,G71-360,0)</f>
        <v/>
      </c>
      <c r="K71" s="8">
        <f>IF(J71=0,G71,J71)</f>
        <v/>
      </c>
    </row>
    <row r="72" ht="15" customHeight="1">
      <c r="A72" s="12" t="n">
        <v>62</v>
      </c>
      <c r="B72" s="12" t="n">
        <v>142</v>
      </c>
      <c r="C72" s="12" t="n">
        <v>37</v>
      </c>
      <c r="D72" s="5" t="n">
        <v>180</v>
      </c>
      <c r="E72" s="9">
        <f>D72+1.5</f>
        <v/>
      </c>
      <c r="F72" s="9">
        <f>D72-1.5</f>
        <v/>
      </c>
      <c r="G72" s="25" t="n">
        <v>180.67</v>
      </c>
      <c r="H72" s="6">
        <f>IF(OR(K72&gt;E72,K72&lt;F72),"FAIL","PASS")</f>
        <v/>
      </c>
      <c r="I72" s="7">
        <f>G72-D72</f>
        <v/>
      </c>
      <c r="J72" s="8">
        <f>IF(G72&gt;300,G72-360,0)</f>
        <v/>
      </c>
      <c r="K72" s="8">
        <f>IF(J72=0,G72,J72)</f>
        <v/>
      </c>
    </row>
    <row r="73" ht="15" customHeight="1">
      <c r="A73" s="12" t="n">
        <v>63</v>
      </c>
      <c r="B73" s="12" t="n">
        <v>143</v>
      </c>
      <c r="C73" s="12" t="n">
        <v>242</v>
      </c>
      <c r="D73" s="5" t="n">
        <v>178.65</v>
      </c>
      <c r="E73" s="9">
        <f>D73+1.5</f>
        <v/>
      </c>
      <c r="F73" s="9">
        <f>D73-1.5</f>
        <v/>
      </c>
      <c r="G73" s="25" t="n">
        <v>178.82</v>
      </c>
      <c r="H73" s="6">
        <f>IF(OR(K73&gt;E73,K73&lt;F73),"FAIL","PASS")</f>
        <v/>
      </c>
      <c r="I73" s="7">
        <f>G73-D73</f>
        <v/>
      </c>
      <c r="J73" s="8">
        <f>IF(G73&gt;300,G73-360,0)</f>
        <v/>
      </c>
      <c r="K73" s="8">
        <f>IF(J73=0,G73,J73)</f>
        <v/>
      </c>
    </row>
    <row r="74" ht="15" customHeight="1">
      <c r="A74" s="12" t="n">
        <v>64</v>
      </c>
      <c r="B74" s="12" t="n">
        <v>146</v>
      </c>
      <c r="C74" s="12" t="n">
        <v>54</v>
      </c>
      <c r="D74" s="5" t="n">
        <v>176.13</v>
      </c>
      <c r="E74" s="9">
        <f>D74+1.5</f>
        <v/>
      </c>
      <c r="F74" s="9">
        <f>D74-1.5</f>
        <v/>
      </c>
      <c r="G74" s="25" t="n">
        <v>176.37</v>
      </c>
      <c r="H74" s="6">
        <f>IF(OR(K74&gt;E74,K74&lt;F74),"FAIL","PASS")</f>
        <v/>
      </c>
      <c r="I74" s="7">
        <f>G74-D74</f>
        <v/>
      </c>
      <c r="J74" s="8">
        <f>IF(G74&gt;300,G74-360,0)</f>
        <v/>
      </c>
      <c r="K74" s="8">
        <f>IF(J74=0,G74,J74)</f>
        <v/>
      </c>
    </row>
    <row r="75" ht="15" customHeight="1">
      <c r="A75" s="12" t="n">
        <v>65</v>
      </c>
      <c r="B75" s="12" t="n">
        <v>148</v>
      </c>
      <c r="C75" s="12" t="n">
        <v>225</v>
      </c>
      <c r="D75" s="5" t="n">
        <v>173.38</v>
      </c>
      <c r="E75" s="9">
        <f>D75+1.5</f>
        <v/>
      </c>
      <c r="F75" s="9">
        <f>D75-1.5</f>
        <v/>
      </c>
      <c r="G75" s="25" t="n">
        <v>173.7</v>
      </c>
      <c r="H75" s="6">
        <f>IF(OR(K75&gt;E75,K75&lt;F75),"FAIL","PASS")</f>
        <v/>
      </c>
      <c r="I75" s="7">
        <f>G75-D75</f>
        <v/>
      </c>
      <c r="J75" s="8">
        <f>IF(G75&gt;300,G75-360,0)</f>
        <v/>
      </c>
      <c r="K75" s="8">
        <f>IF(J75=0,G75,J75)</f>
        <v/>
      </c>
    </row>
    <row r="76" ht="15" customHeight="1">
      <c r="A76" s="12" t="n">
        <v>66</v>
      </c>
      <c r="B76" s="12" t="n">
        <v>151</v>
      </c>
      <c r="C76" s="12" t="n">
        <v>37</v>
      </c>
      <c r="D76" s="5" t="n">
        <v>170.84</v>
      </c>
      <c r="E76" s="9">
        <f>D76+1.5</f>
        <v/>
      </c>
      <c r="F76" s="9">
        <f>D76-1.5</f>
        <v/>
      </c>
      <c r="G76" s="25" t="n">
        <v>171.01</v>
      </c>
      <c r="H76" s="6">
        <f>IF(OR(K76&gt;E76,K76&lt;F76),"FAIL","PASS")</f>
        <v/>
      </c>
      <c r="I76" s="7">
        <f>G76-D76</f>
        <v/>
      </c>
      <c r="J76" s="8">
        <f>IF(G76&gt;300,G76-360,0)</f>
        <v/>
      </c>
      <c r="K76" s="8">
        <f>IF(J76=0,G76,J76)</f>
        <v/>
      </c>
    </row>
    <row r="77" ht="15" customHeight="1">
      <c r="A77" s="12" t="n">
        <v>67</v>
      </c>
      <c r="B77" s="12" t="n">
        <v>153</v>
      </c>
      <c r="C77" s="12" t="n">
        <v>209</v>
      </c>
      <c r="D77" s="5" t="n">
        <v>167.79</v>
      </c>
      <c r="E77" s="9">
        <f>D77+1.5</f>
        <v/>
      </c>
      <c r="F77" s="9">
        <f>D77-1.5</f>
        <v/>
      </c>
      <c r="G77" s="25" t="n">
        <v>168.18</v>
      </c>
      <c r="H77" s="6">
        <f>IF(OR(K77&gt;E77,K77&lt;F77),"FAIL","PASS")</f>
        <v/>
      </c>
      <c r="I77" s="7">
        <f>G77-D77</f>
        <v/>
      </c>
      <c r="J77" s="8">
        <f>IF(G77&gt;300,G77-360,0)</f>
        <v/>
      </c>
      <c r="K77" s="8">
        <f>IF(J77=0,G77,J77)</f>
        <v/>
      </c>
    </row>
    <row r="78" ht="15" customHeight="1">
      <c r="A78" s="12" t="n">
        <v>68</v>
      </c>
      <c r="B78" s="12" t="n">
        <v>156</v>
      </c>
      <c r="C78" s="12" t="n">
        <v>21</v>
      </c>
      <c r="D78" s="5" t="n">
        <v>164.95</v>
      </c>
      <c r="E78" s="9">
        <f>D78+1.5</f>
        <v/>
      </c>
      <c r="F78" s="9">
        <f>D78-1.5</f>
        <v/>
      </c>
      <c r="G78" s="25" t="n">
        <v>165.3</v>
      </c>
      <c r="H78" s="6">
        <f>IF(OR(K78&gt;E78,K78&lt;F78),"FAIL","PASS")</f>
        <v/>
      </c>
      <c r="I78" s="7">
        <f>G78-D78</f>
        <v/>
      </c>
      <c r="J78" s="8">
        <f>IF(G78&gt;300,G78-360,0)</f>
        <v/>
      </c>
      <c r="K78" s="8">
        <f>IF(J78=0,G78,J78)</f>
        <v/>
      </c>
    </row>
    <row r="79" ht="15" customHeight="1">
      <c r="A79" s="12" t="n">
        <v>69</v>
      </c>
      <c r="B79" s="12" t="n">
        <v>158</v>
      </c>
      <c r="C79" s="12" t="n">
        <v>192</v>
      </c>
      <c r="D79" s="5" t="n">
        <v>162.15</v>
      </c>
      <c r="E79" s="9">
        <f>D79+1.5</f>
        <v/>
      </c>
      <c r="F79" s="9">
        <f>D79-1.5</f>
        <v/>
      </c>
      <c r="G79" s="25" t="n">
        <v>162.42</v>
      </c>
      <c r="H79" s="6">
        <f>IF(OR(K79&gt;E79,K79&lt;F79),"FAIL","PASS")</f>
        <v/>
      </c>
      <c r="I79" s="7">
        <f>G79-D79</f>
        <v/>
      </c>
      <c r="J79" s="8">
        <f>IF(G79&gt;300,G79-360,0)</f>
        <v/>
      </c>
      <c r="K79" s="8">
        <f>IF(J79=0,G79,J79)</f>
        <v/>
      </c>
    </row>
    <row r="80" ht="15" customHeight="1">
      <c r="A80" s="12" t="n">
        <v>70</v>
      </c>
      <c r="B80" s="12" t="n">
        <v>161</v>
      </c>
      <c r="C80" s="12" t="n">
        <v>4</v>
      </c>
      <c r="D80" s="5" t="n">
        <v>159.31</v>
      </c>
      <c r="E80" s="9">
        <f>D80+1.5</f>
        <v/>
      </c>
      <c r="F80" s="9">
        <f>D80-1.5</f>
        <v/>
      </c>
      <c r="G80" s="25" t="n">
        <v>159.58</v>
      </c>
      <c r="H80" s="6">
        <f>IF(OR(K80&gt;E80,K80&lt;F80),"FAIL","PASS")</f>
        <v/>
      </c>
      <c r="I80" s="7">
        <f>G80-D80</f>
        <v/>
      </c>
      <c r="J80" s="8">
        <f>IF(G80&gt;300,G80-360,0)</f>
        <v/>
      </c>
      <c r="K80" s="8">
        <f>IF(J80=0,G80,J80)</f>
        <v/>
      </c>
    </row>
    <row r="81" ht="15" customHeight="1">
      <c r="A81" s="12" t="n">
        <v>71</v>
      </c>
      <c r="B81" s="12" t="n">
        <v>163</v>
      </c>
      <c r="C81" s="12" t="n">
        <v>176</v>
      </c>
      <c r="D81" s="5" t="n">
        <v>156.46</v>
      </c>
      <c r="E81" s="9">
        <f>D81+1.5</f>
        <v/>
      </c>
      <c r="F81" s="9">
        <f>D81-1.5</f>
        <v/>
      </c>
      <c r="G81" s="25" t="n">
        <v>156.64</v>
      </c>
      <c r="H81" s="6">
        <f>IF(OR(K81&gt;E81,K81&lt;F81),"FAIL","PASS")</f>
        <v/>
      </c>
      <c r="I81" s="7">
        <f>G81-D81</f>
        <v/>
      </c>
      <c r="J81" s="8">
        <f>IF(G81&gt;300,G81-360,0)</f>
        <v/>
      </c>
      <c r="K81" s="8">
        <f>IF(J81=0,G81,J81)</f>
        <v/>
      </c>
    </row>
    <row r="82" ht="15" customHeight="1">
      <c r="A82" s="12" t="n">
        <v>72</v>
      </c>
      <c r="B82" s="12" t="n">
        <v>165</v>
      </c>
      <c r="C82" s="12" t="n">
        <v>348</v>
      </c>
      <c r="D82" s="5" t="n">
        <v>153.57</v>
      </c>
      <c r="E82" s="9">
        <f>D82+1.5</f>
        <v/>
      </c>
      <c r="F82" s="9">
        <f>D82-1.5</f>
        <v/>
      </c>
      <c r="G82" s="25" t="n">
        <v>153.77</v>
      </c>
      <c r="H82" s="6">
        <f>IF(OR(K82&gt;E82,K82&lt;F82),"FAIL","PASS")</f>
        <v/>
      </c>
      <c r="I82" s="7">
        <f>G82-D82</f>
        <v/>
      </c>
      <c r="J82" s="8">
        <f>IF(G82&gt;300,G82-360,0)</f>
        <v/>
      </c>
      <c r="K82" s="8">
        <f>IF(J82=0,G82,J82)</f>
        <v/>
      </c>
    </row>
    <row r="83" ht="15" customHeight="1">
      <c r="A83" s="12" t="n">
        <v>73</v>
      </c>
      <c r="B83" s="12" t="n">
        <v>168</v>
      </c>
      <c r="C83" s="12" t="n">
        <v>159</v>
      </c>
      <c r="D83" s="5" t="n">
        <v>150.72</v>
      </c>
      <c r="E83" s="9">
        <f>D83+1.5</f>
        <v/>
      </c>
      <c r="F83" s="9">
        <f>D83-1.5</f>
        <v/>
      </c>
      <c r="G83" s="25" t="n">
        <v>150.93</v>
      </c>
      <c r="H83" s="6">
        <f>IF(OR(K83&gt;E83,K83&lt;F83),"FAIL","PASS")</f>
        <v/>
      </c>
      <c r="I83" s="7">
        <f>G83-D83</f>
        <v/>
      </c>
      <c r="J83" s="8">
        <f>IF(G83&gt;300,G83-360,0)</f>
        <v/>
      </c>
      <c r="K83" s="8">
        <f>IF(J83=0,G83,J83)</f>
        <v/>
      </c>
    </row>
    <row r="84" ht="15" customHeight="1">
      <c r="A84" s="12" t="n">
        <v>74</v>
      </c>
      <c r="B84" s="12" t="n">
        <v>168</v>
      </c>
      <c r="C84" s="12" t="n">
        <v>278</v>
      </c>
      <c r="D84" s="5" t="n">
        <v>150</v>
      </c>
      <c r="E84" s="9">
        <f>D84+1.5</f>
        <v/>
      </c>
      <c r="F84" s="9">
        <f>D84-1.5</f>
        <v/>
      </c>
      <c r="G84" s="25" t="n">
        <v>150.54</v>
      </c>
      <c r="H84" s="6">
        <f>IF(OR(K84&gt;E84,K84&lt;F84),"FAIL","PASS")</f>
        <v/>
      </c>
      <c r="I84" s="7">
        <f>G84-D84</f>
        <v/>
      </c>
      <c r="J84" s="8">
        <f>IF(G84&gt;300,G84-360,0)</f>
        <v/>
      </c>
      <c r="K84" s="8">
        <f>IF(J84=0,G84,J84)</f>
        <v/>
      </c>
    </row>
    <row r="85" ht="15" customHeight="1">
      <c r="A85" s="12" t="n">
        <v>75</v>
      </c>
      <c r="B85" s="12" t="n">
        <v>170</v>
      </c>
      <c r="C85" s="12" t="n">
        <v>331</v>
      </c>
      <c r="D85" s="5" t="n">
        <v>148.18</v>
      </c>
      <c r="E85" s="9">
        <f>D85+1.5</f>
        <v/>
      </c>
      <c r="F85" s="9">
        <f>D85-1.5</f>
        <v/>
      </c>
      <c r="G85" s="25" t="n">
        <v>148.37</v>
      </c>
      <c r="H85" s="6">
        <f>IF(OR(K85&gt;E85,K85&lt;F85),"FAIL","PASS")</f>
        <v/>
      </c>
      <c r="I85" s="7">
        <f>G85-D85</f>
        <v/>
      </c>
      <c r="J85" s="8">
        <f>IF(G85&gt;300,G85-360,0)</f>
        <v/>
      </c>
      <c r="K85" s="8">
        <f>IF(J85=0,G85,J85)</f>
        <v/>
      </c>
    </row>
    <row r="86" ht="15" customHeight="1">
      <c r="A86" s="12" t="n">
        <v>76</v>
      </c>
      <c r="B86" s="12" t="n">
        <v>173</v>
      </c>
      <c r="C86" s="12" t="n">
        <v>143</v>
      </c>
      <c r="D86" s="5" t="n">
        <v>145.83</v>
      </c>
      <c r="E86" s="9">
        <f>D86+1.5</f>
        <v/>
      </c>
      <c r="F86" s="9">
        <f>D86-1.5</f>
        <v/>
      </c>
      <c r="G86" s="25" t="n">
        <v>145.99</v>
      </c>
      <c r="H86" s="6">
        <f>IF(OR(K86&gt;E86,K86&lt;F86),"FAIL","PASS")</f>
        <v/>
      </c>
      <c r="I86" s="7">
        <f>G86-D86</f>
        <v/>
      </c>
      <c r="J86" s="8">
        <f>IF(G86&gt;300,G86-360,0)</f>
        <v/>
      </c>
      <c r="K86" s="8">
        <f>IF(J86=0,G86,J86)</f>
        <v/>
      </c>
    </row>
    <row r="87" ht="15" customHeight="1">
      <c r="A87" s="12" t="n">
        <v>77</v>
      </c>
      <c r="B87" s="12" t="n">
        <v>175</v>
      </c>
      <c r="C87" s="12" t="n">
        <v>315</v>
      </c>
      <c r="D87" s="5" t="n">
        <v>143.48</v>
      </c>
      <c r="E87" s="9">
        <f>D87+1.5</f>
        <v/>
      </c>
      <c r="F87" s="9">
        <f>D87-1.5</f>
        <v/>
      </c>
      <c r="G87" s="25" t="n">
        <v>143.59</v>
      </c>
      <c r="H87" s="6">
        <f>IF(OR(K87&gt;E87,K87&lt;F87),"FAIL","PASS")</f>
        <v/>
      </c>
      <c r="I87" s="7">
        <f>G87-D87</f>
        <v/>
      </c>
      <c r="J87" s="8">
        <f>IF(G87&gt;300,G87-360,0)</f>
        <v/>
      </c>
      <c r="K87" s="8">
        <f>IF(J87=0,G87,J87)</f>
        <v/>
      </c>
    </row>
    <row r="88" ht="15" customHeight="1">
      <c r="A88" s="12" t="n">
        <v>78</v>
      </c>
      <c r="B88" s="12" t="n">
        <v>178</v>
      </c>
      <c r="C88" s="12" t="n">
        <v>126</v>
      </c>
      <c r="D88" s="5" t="n">
        <v>141.15</v>
      </c>
      <c r="E88" s="9">
        <f>D88+1.5</f>
        <v/>
      </c>
      <c r="F88" s="9">
        <f>D88-1.5</f>
        <v/>
      </c>
      <c r="G88" s="25" t="n">
        <v>141.3</v>
      </c>
      <c r="H88" s="6">
        <f>IF(OR(K88&gt;E88,K88&lt;F88),"FAIL","PASS")</f>
        <v/>
      </c>
      <c r="I88" s="7">
        <f>G88-D88</f>
        <v/>
      </c>
      <c r="J88" s="8">
        <f>IF(G88&gt;300,G88-360,0)</f>
        <v/>
      </c>
      <c r="K88" s="8">
        <f>IF(J88=0,G88,J88)</f>
        <v/>
      </c>
    </row>
    <row r="89" ht="15" customHeight="1">
      <c r="A89" s="12" t="n">
        <v>79</v>
      </c>
      <c r="B89" s="12" t="n">
        <v>180</v>
      </c>
      <c r="C89" s="12" t="n">
        <v>298</v>
      </c>
      <c r="D89" s="5" t="n">
        <v>138.85</v>
      </c>
      <c r="E89" s="9">
        <f>D89+1.5</f>
        <v/>
      </c>
      <c r="F89" s="9">
        <f>D89-1.5</f>
        <v/>
      </c>
      <c r="G89" s="25" t="n">
        <v>138.95</v>
      </c>
      <c r="H89" s="6">
        <f>IF(OR(K89&gt;E89,K89&lt;F89),"FAIL","PASS")</f>
        <v/>
      </c>
      <c r="I89" s="7">
        <f>G89-D89</f>
        <v/>
      </c>
      <c r="J89" s="8">
        <f>IF(G89&gt;300,G89-360,0)</f>
        <v/>
      </c>
      <c r="K89" s="8">
        <f>IF(J89=0,G89,J89)</f>
        <v/>
      </c>
    </row>
    <row r="90" ht="15" customHeight="1">
      <c r="A90" s="11" t="n">
        <v>80</v>
      </c>
      <c r="B90" s="12" t="n">
        <v>183</v>
      </c>
      <c r="C90" s="12" t="n">
        <v>110</v>
      </c>
      <c r="D90" s="5" t="n">
        <v>136.5</v>
      </c>
      <c r="E90" s="9">
        <f>D90+1.5</f>
        <v/>
      </c>
      <c r="F90" s="9">
        <f>D90-1.5</f>
        <v/>
      </c>
      <c r="G90" s="25" t="n">
        <v>136.71</v>
      </c>
      <c r="H90" s="6">
        <f>IF(OR(K90&gt;E90,K90&lt;F90),"FAIL","PASS")</f>
        <v/>
      </c>
      <c r="I90" s="7">
        <f>G90-D90</f>
        <v/>
      </c>
      <c r="J90" s="8">
        <f>IF(G90&gt;300,G90-360,0)</f>
        <v/>
      </c>
      <c r="K90" s="8">
        <f>IF(J90=0,G90,J90)</f>
        <v/>
      </c>
    </row>
    <row r="91" ht="15" customHeight="1">
      <c r="A91" s="12" t="n">
        <v>81</v>
      </c>
      <c r="B91" s="12" t="n">
        <v>185</v>
      </c>
      <c r="C91" s="12" t="n">
        <v>282</v>
      </c>
      <c r="D91" s="5" t="n">
        <v>134.13</v>
      </c>
      <c r="E91" s="9">
        <f>D91+1.5</f>
        <v/>
      </c>
      <c r="F91" s="9">
        <f>D91-1.5</f>
        <v/>
      </c>
      <c r="G91" s="25" t="n">
        <v>134.42</v>
      </c>
      <c r="H91" s="6">
        <f>IF(OR(K91&gt;E91,K91&lt;F91),"FAIL","PASS")</f>
        <v/>
      </c>
      <c r="I91" s="7">
        <f>G91-D91</f>
        <v/>
      </c>
      <c r="J91" s="8">
        <f>IF(G91&gt;300,G91-360,0)</f>
        <v/>
      </c>
      <c r="K91" s="8">
        <f>IF(J91=0,G91,J91)</f>
        <v/>
      </c>
    </row>
    <row r="92" ht="15" customHeight="1">
      <c r="A92" s="12" t="n">
        <v>82</v>
      </c>
      <c r="B92" s="12" t="n">
        <v>188</v>
      </c>
      <c r="C92" s="12" t="n">
        <v>93</v>
      </c>
      <c r="D92" s="5" t="n">
        <v>131.75</v>
      </c>
      <c r="E92" s="9">
        <f>D92+1.5</f>
        <v/>
      </c>
      <c r="F92" s="9">
        <f>D92-1.5</f>
        <v/>
      </c>
      <c r="G92" s="25" t="n">
        <v>132.03</v>
      </c>
      <c r="H92" s="6">
        <f>IF(OR(K92&gt;E92,K92&lt;F92),"FAIL","PASS")</f>
        <v/>
      </c>
      <c r="I92" s="7">
        <f>G92-D92</f>
        <v/>
      </c>
      <c r="J92" s="8">
        <f>IF(G92&gt;300,G92-360,0)</f>
        <v/>
      </c>
      <c r="K92" s="8">
        <f>IF(J92=0,G92,J92)</f>
        <v/>
      </c>
    </row>
    <row r="93" ht="15" customHeight="1">
      <c r="A93" s="12" t="n">
        <v>83</v>
      </c>
      <c r="B93" s="12" t="n">
        <v>190</v>
      </c>
      <c r="C93" s="12" t="n">
        <v>265</v>
      </c>
      <c r="D93" s="5" t="n">
        <v>129.36</v>
      </c>
      <c r="E93" s="9">
        <f>D93+1.5</f>
        <v/>
      </c>
      <c r="F93" s="9">
        <f>D93-1.5</f>
        <v/>
      </c>
      <c r="G93" s="25" t="n">
        <v>129.72</v>
      </c>
      <c r="H93" s="6">
        <f>IF(OR(K93&gt;E93,K93&lt;F93),"FAIL","PASS")</f>
        <v/>
      </c>
      <c r="I93" s="7">
        <f>G93-D93</f>
        <v/>
      </c>
      <c r="J93" s="8">
        <f>IF(G93&gt;300,G93-360,0)</f>
        <v/>
      </c>
      <c r="K93" s="8">
        <f>IF(J93=0,G93,J93)</f>
        <v/>
      </c>
    </row>
    <row r="94" ht="15" customHeight="1">
      <c r="A94" s="12" t="n">
        <v>84</v>
      </c>
      <c r="B94" s="12" t="n">
        <v>193</v>
      </c>
      <c r="C94" s="12" t="n">
        <v>77</v>
      </c>
      <c r="D94" s="5" t="n">
        <v>126.99</v>
      </c>
      <c r="E94" s="9">
        <f>D94+1.5</f>
        <v/>
      </c>
      <c r="F94" s="9">
        <f>D94-1.5</f>
        <v/>
      </c>
      <c r="G94" s="25" t="n">
        <v>127.38</v>
      </c>
      <c r="H94" s="6">
        <f>IF(OR(K94&gt;E94,K94&lt;F94),"FAIL","PASS")</f>
        <v/>
      </c>
      <c r="I94" s="7">
        <f>G94-D94</f>
        <v/>
      </c>
      <c r="J94" s="8">
        <f>IF(G94&gt;300,G94-360,0)</f>
        <v/>
      </c>
      <c r="K94" s="8">
        <f>IF(J94=0,G94,J94)</f>
        <v/>
      </c>
    </row>
    <row r="95" ht="15" customHeight="1">
      <c r="A95" s="12" t="n">
        <v>85</v>
      </c>
      <c r="B95" s="12" t="n">
        <v>195</v>
      </c>
      <c r="C95" s="12" t="n">
        <v>249</v>
      </c>
      <c r="D95" s="5" t="n">
        <v>124.64</v>
      </c>
      <c r="E95" s="9">
        <f>D95+1.5</f>
        <v/>
      </c>
      <c r="F95" s="9">
        <f>D95-1.5</f>
        <v/>
      </c>
      <c r="G95" s="25" t="n">
        <v>125.08</v>
      </c>
      <c r="H95" s="6">
        <f>IF(OR(K95&gt;E95,K95&lt;F95),"FAIL","PASS")</f>
        <v/>
      </c>
      <c r="I95" s="7">
        <f>G95-D95</f>
        <v/>
      </c>
      <c r="J95" s="8">
        <f>IF(G95&gt;300,G95-360,0)</f>
        <v/>
      </c>
      <c r="K95" s="8">
        <f>IF(J95=0,G95,J95)</f>
        <v/>
      </c>
    </row>
    <row r="96" ht="15" customHeight="1">
      <c r="A96" s="12" t="n">
        <v>86</v>
      </c>
      <c r="B96" s="15" t="n">
        <v>198</v>
      </c>
      <c r="C96" s="12" t="n">
        <v>61</v>
      </c>
      <c r="D96" s="5" t="n">
        <v>122.28</v>
      </c>
      <c r="E96" s="9">
        <f>D96+1.5</f>
        <v/>
      </c>
      <c r="F96" s="9">
        <f>D96-1.5</f>
        <v/>
      </c>
      <c r="G96" s="25" t="n">
        <v>122.75</v>
      </c>
      <c r="H96" s="6">
        <f>IF(OR(K96&gt;E96,K96&lt;F96),"FAIL","PASS")</f>
        <v/>
      </c>
      <c r="I96" s="7">
        <f>G96-D96</f>
        <v/>
      </c>
      <c r="J96" s="8">
        <f>IF(G96&gt;300,G96-360,0)</f>
        <v/>
      </c>
      <c r="K96" s="8">
        <f>IF(J96=0,G96,J96)</f>
        <v/>
      </c>
    </row>
    <row r="97" ht="15" customHeight="1">
      <c r="A97" s="12" t="n">
        <v>87</v>
      </c>
      <c r="B97" s="12" t="n">
        <v>200</v>
      </c>
      <c r="C97" s="12" t="n">
        <v>252</v>
      </c>
      <c r="D97" s="5" t="n">
        <v>119.89</v>
      </c>
      <c r="E97" s="9">
        <f>D97+1.5</f>
        <v/>
      </c>
      <c r="F97" s="9">
        <f>D97-1.5</f>
        <v/>
      </c>
      <c r="G97" s="25" t="n">
        <v>120.36</v>
      </c>
      <c r="H97" s="6">
        <f>IF(OR(K97&gt;E97,K97&lt;F97),"FAIL","PASS")</f>
        <v/>
      </c>
      <c r="I97" s="7">
        <f>G97-D97</f>
        <v/>
      </c>
      <c r="J97" s="8">
        <f>IF(G97&gt;300,G97-360,0)</f>
        <v/>
      </c>
      <c r="K97" s="8">
        <f>IF(J97=0,G97,J97)</f>
        <v/>
      </c>
    </row>
    <row r="98" ht="15" customHeight="1">
      <c r="A98" s="12" t="n">
        <v>88</v>
      </c>
      <c r="B98" s="12" t="n">
        <v>203</v>
      </c>
      <c r="C98" s="12" t="n">
        <v>44</v>
      </c>
      <c r="D98" s="5" t="n">
        <v>117.51</v>
      </c>
      <c r="E98" s="9">
        <f>D98+1.5</f>
        <v/>
      </c>
      <c r="F98" s="9">
        <f>D98-1.5</f>
        <v/>
      </c>
      <c r="G98" s="25" t="n">
        <v>118.03</v>
      </c>
      <c r="H98" s="6">
        <f>IF(OR(K98&gt;E98,K98&lt;F98),"FAIL","PASS")</f>
        <v/>
      </c>
      <c r="I98" s="7">
        <f>G98-D98</f>
        <v/>
      </c>
      <c r="J98" s="8">
        <f>IF(G98&gt;300,G98-360,0)</f>
        <v/>
      </c>
      <c r="K98" s="8">
        <f>IF(J98=0,G98,J98)</f>
        <v/>
      </c>
    </row>
    <row r="99" ht="15" customHeight="1">
      <c r="A99" s="12" t="n">
        <v>89</v>
      </c>
      <c r="B99" s="12" t="n">
        <v>205</v>
      </c>
      <c r="C99" s="12" t="n">
        <v>216</v>
      </c>
      <c r="D99" s="5" t="n">
        <v>115.13</v>
      </c>
      <c r="E99" s="9">
        <f>D99+1.5</f>
        <v/>
      </c>
      <c r="F99" s="9">
        <f>D99-1.5</f>
        <v/>
      </c>
      <c r="G99" s="25" t="n">
        <v>115.83</v>
      </c>
      <c r="H99" s="6">
        <f>IF(OR(K99&gt;E99,K99&lt;F99),"FAIL","PASS")</f>
        <v/>
      </c>
      <c r="I99" s="7">
        <f>G99-D99</f>
        <v/>
      </c>
      <c r="J99" s="8">
        <f>IF(G99&gt;300,G99-360,0)</f>
        <v/>
      </c>
      <c r="K99" s="8">
        <f>IF(J99=0,G99,J99)</f>
        <v/>
      </c>
    </row>
    <row r="100" ht="15" customHeight="1">
      <c r="A100" s="12" t="n">
        <v>90</v>
      </c>
      <c r="B100" s="12" t="n">
        <v>207</v>
      </c>
      <c r="C100" s="12" t="n">
        <v>283</v>
      </c>
      <c r="D100" s="5" t="n">
        <v>113</v>
      </c>
      <c r="E100" s="9">
        <f>D100+1.5</f>
        <v/>
      </c>
      <c r="F100" s="9">
        <f>D100-1.5</f>
        <v/>
      </c>
      <c r="G100" s="25" t="n">
        <v>113.7</v>
      </c>
      <c r="H100" s="6">
        <f>IF(OR(K100&gt;E100,K100&lt;F100),"FAIL","PASS")</f>
        <v/>
      </c>
      <c r="I100" s="7">
        <f>G100-D100</f>
        <v/>
      </c>
      <c r="J100" s="8">
        <f>IF(G100&gt;300,G100-360,0)</f>
        <v/>
      </c>
      <c r="K100" s="8">
        <f>IF(J100=0,G100,J100)</f>
        <v/>
      </c>
    </row>
    <row r="101" ht="15" customHeight="1">
      <c r="A101" s="12" t="n">
        <v>91</v>
      </c>
      <c r="B101" s="12" t="n">
        <v>208</v>
      </c>
      <c r="C101" s="12" t="n">
        <v>28</v>
      </c>
      <c r="D101" s="5" t="n">
        <v>112.67</v>
      </c>
      <c r="E101" s="9">
        <f>D101+1.5</f>
        <v/>
      </c>
      <c r="F101" s="9">
        <f>D101-1.5</f>
        <v/>
      </c>
      <c r="G101" s="25" t="n">
        <v>113.41</v>
      </c>
      <c r="H101" s="6">
        <f>IF(OR(K101&gt;E101,K101&lt;F101),"FAIL","PASS")</f>
        <v/>
      </c>
      <c r="I101" s="7">
        <f>G101-D101</f>
        <v/>
      </c>
      <c r="J101" s="8">
        <f>IF(G101&gt;300,G101-360,0)</f>
        <v/>
      </c>
      <c r="K101" s="8">
        <f>IF(J101=0,G101,J101)</f>
        <v/>
      </c>
    </row>
    <row r="102" ht="15" customHeight="1">
      <c r="A102" s="12" t="n">
        <v>92</v>
      </c>
      <c r="B102" s="12" t="n">
        <v>210</v>
      </c>
      <c r="C102" s="12" t="n">
        <v>199</v>
      </c>
      <c r="D102" s="5" t="n">
        <v>110.26</v>
      </c>
      <c r="E102" s="9">
        <f>D102+1.5</f>
        <v/>
      </c>
      <c r="F102" s="9">
        <f>D102-1.5</f>
        <v/>
      </c>
      <c r="G102" s="25" t="n">
        <v>110.98</v>
      </c>
      <c r="H102" s="6">
        <f>IF(OR(K102&gt;E102,K102&lt;F102),"FAIL","PASS")</f>
        <v/>
      </c>
      <c r="I102" s="7">
        <f>G102-D102</f>
        <v/>
      </c>
      <c r="J102" s="8">
        <f>IF(G102&gt;300,G102-360,0)</f>
        <v/>
      </c>
      <c r="K102" s="8">
        <f>IF(J102=0,G102,J102)</f>
        <v/>
      </c>
    </row>
    <row r="103" ht="15" customHeight="1">
      <c r="A103" s="12" t="n">
        <v>93</v>
      </c>
      <c r="B103" s="12" t="n">
        <v>213</v>
      </c>
      <c r="C103" s="12" t="n">
        <v>11</v>
      </c>
      <c r="D103" s="5" t="n">
        <v>107.62</v>
      </c>
      <c r="E103" s="9">
        <f>D103+1.5</f>
        <v/>
      </c>
      <c r="F103" s="9">
        <f>D103-1.5</f>
        <v/>
      </c>
      <c r="G103" s="25" t="n">
        <v>108.23</v>
      </c>
      <c r="H103" s="6">
        <f>IF(OR(K103&gt;E103,K103&lt;F103),"FAIL","PASS")</f>
        <v/>
      </c>
      <c r="I103" s="7">
        <f>G103-D103</f>
        <v/>
      </c>
      <c r="J103" s="8">
        <f>IF(G103&gt;300,G103-360,0)</f>
        <v/>
      </c>
      <c r="K103" s="8">
        <f>IF(J103=0,G103,J103)</f>
        <v/>
      </c>
    </row>
    <row r="104" ht="15" customHeight="1">
      <c r="A104" s="12" t="n">
        <v>94</v>
      </c>
      <c r="B104" s="15" t="n">
        <v>215</v>
      </c>
      <c r="C104" s="12" t="n">
        <v>183</v>
      </c>
      <c r="D104" s="5" t="n">
        <v>104.97</v>
      </c>
      <c r="E104" s="9">
        <f>D104+1.5</f>
        <v/>
      </c>
      <c r="F104" s="9">
        <f>D104-1.5</f>
        <v/>
      </c>
      <c r="G104" s="25" t="n">
        <v>105.42</v>
      </c>
      <c r="H104" s="6">
        <f>IF(OR(K104&gt;E104,K104&lt;F104),"FAIL","PASS")</f>
        <v/>
      </c>
      <c r="I104" s="7">
        <f>G104-D104</f>
        <v/>
      </c>
      <c r="J104" s="8">
        <f>IF(G104&gt;300,G104-360,0)</f>
        <v/>
      </c>
      <c r="K104" s="8">
        <f>IF(J104=0,G104,J104)</f>
        <v/>
      </c>
    </row>
    <row r="105" ht="15" customHeight="1">
      <c r="A105" s="12" t="n">
        <v>95</v>
      </c>
      <c r="B105" s="12" t="n">
        <v>217</v>
      </c>
      <c r="C105" s="12" t="n">
        <v>355</v>
      </c>
      <c r="D105" s="5" t="n">
        <v>102.3</v>
      </c>
      <c r="E105" s="9">
        <f>D105+1.5</f>
        <v/>
      </c>
      <c r="F105" s="9">
        <f>D105-1.5</f>
        <v/>
      </c>
      <c r="G105" s="25" t="n">
        <v>102.68</v>
      </c>
      <c r="H105" s="6">
        <f>IF(OR(K105&gt;E105,K105&lt;F105),"FAIL","PASS")</f>
        <v/>
      </c>
      <c r="I105" s="7">
        <f>G105-D105</f>
        <v/>
      </c>
      <c r="J105" s="8">
        <f>IF(G105&gt;300,G105-360,0)</f>
        <v/>
      </c>
      <c r="K105" s="8">
        <f>IF(J105=0,G105,J105)</f>
        <v/>
      </c>
    </row>
    <row r="106" ht="15" customHeight="1">
      <c r="A106" s="12" t="n">
        <v>96</v>
      </c>
      <c r="B106" s="12" t="n">
        <v>220</v>
      </c>
      <c r="C106" s="12" t="n">
        <v>166</v>
      </c>
      <c r="D106" s="5" t="n">
        <v>99.62</v>
      </c>
      <c r="E106" s="9">
        <f>D106+1.5</f>
        <v/>
      </c>
      <c r="F106" s="9">
        <f>D106-1.5</f>
        <v/>
      </c>
      <c r="G106" s="25" t="n">
        <v>100.04</v>
      </c>
      <c r="H106" s="6">
        <f>IF(OR(K106&gt;E106,K106&lt;F106),"FAIL","PASS")</f>
        <v/>
      </c>
      <c r="I106" s="7">
        <f>G106-D106</f>
        <v/>
      </c>
      <c r="J106" s="8">
        <f>IF(G106&gt;300,G106-360,0)</f>
        <v/>
      </c>
      <c r="K106" s="8">
        <f>IF(J106=0,G106,J106)</f>
        <v/>
      </c>
    </row>
    <row r="107" ht="15" customHeight="1">
      <c r="A107" s="12" t="n">
        <v>97</v>
      </c>
      <c r="B107" s="12" t="n">
        <v>222</v>
      </c>
      <c r="C107" s="12" t="n">
        <v>338</v>
      </c>
      <c r="D107" s="5" t="n">
        <v>96.90000000000001</v>
      </c>
      <c r="E107" s="9">
        <f>D107+1.5</f>
        <v/>
      </c>
      <c r="F107" s="9">
        <f>D107-1.5</f>
        <v/>
      </c>
      <c r="G107" s="25" t="n">
        <v>97.34</v>
      </c>
      <c r="H107" s="6">
        <f>IF(OR(K107&gt;E107,K107&lt;F107),"FAIL","PASS")</f>
        <v/>
      </c>
      <c r="I107" s="7">
        <f>G107-D107</f>
        <v/>
      </c>
      <c r="J107" s="8">
        <f>IF(G107&gt;300,G107-360,0)</f>
        <v/>
      </c>
      <c r="K107" s="8">
        <f>IF(J107=0,G107,J107)</f>
        <v/>
      </c>
    </row>
    <row r="108" ht="15" customHeight="1">
      <c r="A108" s="12" t="n">
        <v>98</v>
      </c>
      <c r="B108" s="12" t="n">
        <v>225</v>
      </c>
      <c r="C108" s="12" t="n">
        <v>150</v>
      </c>
      <c r="D108" s="5" t="n">
        <v>94.2</v>
      </c>
      <c r="E108" s="9">
        <f>D108+1.5</f>
        <v/>
      </c>
      <c r="F108" s="9">
        <f>D108-1.5</f>
        <v/>
      </c>
      <c r="G108" s="25" t="n">
        <v>94.7</v>
      </c>
      <c r="H108" s="6">
        <f>IF(OR(K108&gt;E108,K108&lt;F108),"FAIL","PASS")</f>
        <v/>
      </c>
      <c r="I108" s="7">
        <f>G108-D108</f>
        <v/>
      </c>
      <c r="J108" s="8">
        <f>IF(G108&gt;300,G108-360,0)</f>
        <v/>
      </c>
      <c r="K108" s="8">
        <f>IF(J108=0,G108,J108)</f>
        <v/>
      </c>
    </row>
    <row r="109" ht="15" customHeight="1">
      <c r="A109" s="12" t="n">
        <v>99</v>
      </c>
      <c r="B109" s="12" t="n">
        <v>227</v>
      </c>
      <c r="C109" s="12" t="n">
        <v>322</v>
      </c>
      <c r="D109" s="5" t="n">
        <v>91.36</v>
      </c>
      <c r="E109" s="9">
        <f>D109+1.5</f>
        <v/>
      </c>
      <c r="F109" s="9">
        <f>D109-1.5</f>
        <v/>
      </c>
      <c r="G109" s="25" t="n">
        <v>91.94</v>
      </c>
      <c r="H109" s="6">
        <f>IF(OR(K109&gt;E109,K109&lt;F109),"FAIL","PASS")</f>
        <v/>
      </c>
      <c r="I109" s="7">
        <f>G109-D109</f>
        <v/>
      </c>
      <c r="J109" s="8">
        <f>IF(G109&gt;300,G109-360,0)</f>
        <v/>
      </c>
      <c r="K109" s="8">
        <f>IF(J109=0,G109,J109)</f>
        <v/>
      </c>
    </row>
    <row r="110" ht="15" customHeight="1">
      <c r="A110" s="12" t="n">
        <v>100</v>
      </c>
      <c r="B110" s="12" t="n">
        <v>230</v>
      </c>
      <c r="C110" s="12" t="n">
        <v>133</v>
      </c>
      <c r="D110" s="5" t="n">
        <v>88.62</v>
      </c>
      <c r="E110" s="9">
        <f>D110+1.5</f>
        <v/>
      </c>
      <c r="F110" s="9">
        <f>D110-1.5</f>
        <v/>
      </c>
      <c r="G110" s="25" t="n">
        <v>89.23999999999999</v>
      </c>
      <c r="H110" s="6">
        <f>IF(OR(K110&gt;E110,K110&lt;F110),"FAIL","PASS")</f>
        <v/>
      </c>
      <c r="I110" s="7">
        <f>G110-D110</f>
        <v/>
      </c>
      <c r="J110" s="8">
        <f>IF(G110&gt;300,G110-360,0)</f>
        <v/>
      </c>
      <c r="K110" s="8">
        <f>IF(J110=0,G110,J110)</f>
        <v/>
      </c>
    </row>
    <row r="111" ht="15" customHeight="1">
      <c r="A111" s="12" t="n">
        <v>101</v>
      </c>
      <c r="B111" s="12" t="n">
        <v>232</v>
      </c>
      <c r="C111" s="12" t="n">
        <v>305</v>
      </c>
      <c r="D111" s="5" t="n">
        <v>86.11</v>
      </c>
      <c r="E111" s="9">
        <f>D111+1.5</f>
        <v/>
      </c>
      <c r="F111" s="9">
        <f>D111-1.5</f>
        <v/>
      </c>
      <c r="G111" s="25" t="n">
        <v>86.70999999999999</v>
      </c>
      <c r="H111" s="6">
        <f>IF(OR(K111&gt;E111,K111&lt;F111),"FAIL","PASS")</f>
        <v/>
      </c>
      <c r="I111" s="7">
        <f>G111-D111</f>
        <v/>
      </c>
      <c r="J111" s="8">
        <f>IF(G111&gt;300,G111-360,0)</f>
        <v/>
      </c>
      <c r="K111" s="8">
        <f>IF(J111=0,G111,J111)</f>
        <v/>
      </c>
    </row>
    <row r="112" ht="15" customHeight="1">
      <c r="A112" s="12" t="n">
        <v>102</v>
      </c>
      <c r="B112" s="12" t="n">
        <v>235</v>
      </c>
      <c r="C112" s="12" t="n">
        <v>117</v>
      </c>
      <c r="D112" s="5" t="n">
        <v>83.73999999999999</v>
      </c>
      <c r="E112" s="9">
        <f>D112+1.5</f>
        <v/>
      </c>
      <c r="F112" s="9">
        <f>D112-1.5</f>
        <v/>
      </c>
      <c r="G112" s="25" t="n">
        <v>84.31</v>
      </c>
      <c r="H112" s="6">
        <f>IF(OR(K112&gt;E112,K112&lt;F112),"FAIL","PASS")</f>
        <v/>
      </c>
      <c r="I112" s="7">
        <f>G112-D112</f>
        <v/>
      </c>
      <c r="J112" s="8">
        <f>IF(G112&gt;300,G112-360,0)</f>
        <v/>
      </c>
      <c r="K112" s="8">
        <f>IF(J112=0,G112,J112)</f>
        <v/>
      </c>
    </row>
    <row r="113" ht="15" customHeight="1">
      <c r="A113" s="12" t="n">
        <v>103</v>
      </c>
      <c r="B113" s="12" t="n">
        <v>237</v>
      </c>
      <c r="C113" s="12" t="n">
        <v>289</v>
      </c>
      <c r="D113" s="5" t="n">
        <v>81.28</v>
      </c>
      <c r="E113" s="9">
        <f>D113+1.5</f>
        <v/>
      </c>
      <c r="F113" s="9">
        <f>D113-1.5</f>
        <v/>
      </c>
      <c r="G113" s="25" t="n">
        <v>81.84999999999999</v>
      </c>
      <c r="H113" s="6">
        <f>IF(OR(K113&gt;E113,K113&lt;F113),"FAIL","PASS")</f>
        <v/>
      </c>
      <c r="I113" s="7">
        <f>G113-D113</f>
        <v/>
      </c>
      <c r="J113" s="8">
        <f>IF(G113&gt;300,G113-360,0)</f>
        <v/>
      </c>
      <c r="K113" s="8">
        <f>IF(J113=0,G113,J113)</f>
        <v/>
      </c>
    </row>
    <row r="114" ht="15" customHeight="1">
      <c r="A114" s="12" t="n">
        <v>104</v>
      </c>
      <c r="B114" s="12" t="n">
        <v>240</v>
      </c>
      <c r="C114" s="12" t="n">
        <v>100</v>
      </c>
      <c r="D114" s="5" t="n">
        <v>78.87</v>
      </c>
      <c r="E114" s="9">
        <f>D114+1.5</f>
        <v/>
      </c>
      <c r="F114" s="9">
        <f>D114-1.5</f>
        <v/>
      </c>
      <c r="G114" s="25" t="n">
        <v>79.31</v>
      </c>
      <c r="H114" s="6">
        <f>IF(OR(K114&gt;E114,K114&lt;F114),"FAIL","PASS")</f>
        <v/>
      </c>
      <c r="I114" s="7">
        <f>G114-D114</f>
        <v/>
      </c>
      <c r="J114" s="8">
        <f>IF(G114&gt;300,G114-360,0)</f>
        <v/>
      </c>
      <c r="K114" s="8">
        <f>IF(J114=0,G114,J114)</f>
        <v/>
      </c>
    </row>
    <row r="115" ht="15" customHeight="1">
      <c r="A115" s="12" t="n">
        <v>105</v>
      </c>
      <c r="B115" s="15" t="n">
        <v>242</v>
      </c>
      <c r="C115" s="11" t="n">
        <v>272</v>
      </c>
      <c r="D115" s="5" t="n">
        <v>76.54000000000001</v>
      </c>
      <c r="E115" s="9">
        <f>D115+1.5</f>
        <v/>
      </c>
      <c r="F115" s="9">
        <f>D115-1.5</f>
        <v/>
      </c>
      <c r="G115" s="25" t="n">
        <v>77.05</v>
      </c>
      <c r="H115" s="6">
        <f>IF(OR(K115&gt;E115,K115&lt;F115),"FAIL","PASS")</f>
        <v/>
      </c>
      <c r="I115" s="7">
        <f>G115-D115</f>
        <v/>
      </c>
      <c r="J115" s="8">
        <f>IF(G115&gt;300,G115-360,0)</f>
        <v/>
      </c>
      <c r="K115" s="8">
        <f>IF(J115=0,G115,J115)</f>
        <v/>
      </c>
    </row>
    <row r="116" ht="15" customHeight="1">
      <c r="A116" s="12" t="n">
        <v>106</v>
      </c>
      <c r="B116" s="12" t="n">
        <v>243</v>
      </c>
      <c r="C116" s="12" t="n">
        <v>74</v>
      </c>
      <c r="D116" s="5" t="n">
        <v>76</v>
      </c>
      <c r="E116" s="9">
        <f>D116+1.5</f>
        <v/>
      </c>
      <c r="F116" s="9">
        <f>D116-1.5</f>
        <v/>
      </c>
      <c r="G116" s="25" t="n">
        <v>76.63</v>
      </c>
      <c r="H116" s="6">
        <f>IF(OR(K116&gt;E116,K116&lt;F116),"FAIL","PASS")</f>
        <v/>
      </c>
      <c r="I116" s="7">
        <f>G116-D116</f>
        <v/>
      </c>
      <c r="J116" s="8">
        <f>IF(G116&gt;300,G116-360,0)</f>
        <v/>
      </c>
      <c r="K116" s="8">
        <f>IF(J116=0,G116,J116)</f>
        <v/>
      </c>
    </row>
    <row r="117" ht="15" customHeight="1">
      <c r="A117" s="12" t="n">
        <v>107</v>
      </c>
      <c r="B117" s="12" t="n">
        <v>245</v>
      </c>
      <c r="C117" s="12" t="n">
        <v>84</v>
      </c>
      <c r="D117" s="5" t="n">
        <v>74.06</v>
      </c>
      <c r="E117" s="9">
        <f>D117+1.5</f>
        <v/>
      </c>
      <c r="F117" s="9">
        <f>D117-1.5</f>
        <v/>
      </c>
      <c r="G117" s="25" t="n">
        <v>74.62</v>
      </c>
      <c r="H117" s="6">
        <f>IF(OR(K117&gt;E117,K117&lt;F117),"FAIL","PASS")</f>
        <v/>
      </c>
      <c r="I117" s="7">
        <f>G117-D117</f>
        <v/>
      </c>
      <c r="J117" s="8">
        <f>IF(G117&gt;300,G117-360,0)</f>
        <v/>
      </c>
      <c r="K117" s="8">
        <f>IF(J117=0,G117,J117)</f>
        <v/>
      </c>
    </row>
    <row r="118" ht="15" customHeight="1">
      <c r="A118" s="12" t="n">
        <v>108</v>
      </c>
      <c r="B118" s="12" t="n">
        <v>247</v>
      </c>
      <c r="C118" s="12" t="n">
        <v>256</v>
      </c>
      <c r="D118" s="5" t="n">
        <v>71.59</v>
      </c>
      <c r="E118" s="9">
        <f>D118+1.5</f>
        <v/>
      </c>
      <c r="F118" s="9">
        <f>D118-1.5</f>
        <v/>
      </c>
      <c r="G118" s="25" t="n">
        <v>72.40000000000001</v>
      </c>
      <c r="H118" s="6">
        <f>IF(OR(K118&gt;E118,K118&lt;F118),"FAIL","PASS")</f>
        <v/>
      </c>
      <c r="I118" s="7">
        <f>G118-D118</f>
        <v/>
      </c>
      <c r="J118" s="8">
        <f>IF(G118&gt;300,G118-360,0)</f>
        <v/>
      </c>
      <c r="K118" s="8">
        <f>IF(J118=0,G118,J118)</f>
        <v/>
      </c>
    </row>
    <row r="119" ht="15" customHeight="1">
      <c r="A119" s="12" t="n">
        <v>109</v>
      </c>
      <c r="B119" s="12" t="n">
        <v>250</v>
      </c>
      <c r="C119" s="12" t="n">
        <v>67</v>
      </c>
      <c r="D119" s="5" t="n">
        <v>69.14</v>
      </c>
      <c r="E119" s="9">
        <f>D119+1.5</f>
        <v/>
      </c>
      <c r="F119" s="9">
        <f>D119-1.5</f>
        <v/>
      </c>
      <c r="G119" s="25" t="n">
        <v>70.02</v>
      </c>
      <c r="H119" s="6">
        <f>IF(OR(K119&gt;E119,K119&lt;F119),"FAIL","PASS")</f>
        <v/>
      </c>
      <c r="I119" s="7">
        <f>G119-D119</f>
        <v/>
      </c>
      <c r="J119" s="8">
        <f>IF(G119&gt;300,G119-360,0)</f>
        <v/>
      </c>
      <c r="K119" s="8">
        <f>IF(J119=0,G119,J119)</f>
        <v/>
      </c>
    </row>
    <row r="120" ht="15" customHeight="1">
      <c r="A120" s="12" t="n">
        <v>110</v>
      </c>
      <c r="B120" s="12" t="n">
        <v>252</v>
      </c>
      <c r="C120" s="12" t="n">
        <v>239</v>
      </c>
      <c r="D120" s="5" t="n">
        <v>66.64</v>
      </c>
      <c r="E120" s="9">
        <f>D120+1.5</f>
        <v/>
      </c>
      <c r="F120" s="9">
        <f>D120-1.5</f>
        <v/>
      </c>
      <c r="G120" s="25" t="n">
        <v>67.56999999999999</v>
      </c>
      <c r="H120" s="6">
        <f>IF(OR(K120&gt;E120,K120&lt;F120),"FAIL","PASS")</f>
        <v/>
      </c>
      <c r="I120" s="7">
        <f>G120-D120</f>
        <v/>
      </c>
      <c r="J120" s="8">
        <f>IF(G120&gt;300,G120-360,0)</f>
        <v/>
      </c>
      <c r="K120" s="8">
        <f>IF(J120=0,G120,J120)</f>
        <v/>
      </c>
    </row>
    <row r="121" ht="15" customHeight="1">
      <c r="A121" s="12" t="n">
        <v>111</v>
      </c>
      <c r="B121" s="12" t="n">
        <v>255</v>
      </c>
      <c r="C121" s="12" t="n">
        <v>51</v>
      </c>
      <c r="D121" s="5" t="n">
        <v>64.09999999999999</v>
      </c>
      <c r="E121" s="9">
        <f>D121+1.5</f>
        <v/>
      </c>
      <c r="F121" s="9">
        <f>D121-1.5</f>
        <v/>
      </c>
      <c r="G121" s="25" t="n">
        <v>64.92</v>
      </c>
      <c r="H121" s="6">
        <f>IF(OR(K121&gt;E121,K121&lt;F121),"FAIL","PASS")</f>
        <v/>
      </c>
      <c r="I121" s="7">
        <f>G121-D121</f>
        <v/>
      </c>
      <c r="J121" s="8">
        <f>IF(G121&gt;300,G121-360,0)</f>
        <v/>
      </c>
      <c r="K121" s="8">
        <f>IF(J121=0,G121,J121)</f>
        <v/>
      </c>
    </row>
    <row r="122" ht="15" customHeight="1">
      <c r="A122" s="12" t="n">
        <v>112</v>
      </c>
      <c r="B122" s="12" t="n">
        <v>257</v>
      </c>
      <c r="C122" s="12" t="n">
        <v>223</v>
      </c>
      <c r="D122" s="5" t="n">
        <v>61.54</v>
      </c>
      <c r="E122" s="9">
        <f>D122+1.5</f>
        <v/>
      </c>
      <c r="F122" s="9">
        <f>D122-1.5</f>
        <v/>
      </c>
      <c r="G122" s="25" t="n">
        <v>62.39</v>
      </c>
      <c r="H122" s="6">
        <f>IF(OR(K122&gt;E122,K122&lt;F122),"FAIL","PASS")</f>
        <v/>
      </c>
      <c r="I122" s="7">
        <f>G122-D122</f>
        <v/>
      </c>
      <c r="J122" s="8">
        <f>IF(G122&gt;300,G122-360,0)</f>
        <v/>
      </c>
      <c r="K122" s="8">
        <f>IF(J122=0,G122,J122)</f>
        <v/>
      </c>
    </row>
    <row r="123" ht="15" customHeight="1">
      <c r="A123" s="12" t="n">
        <v>113</v>
      </c>
      <c r="B123" s="12" t="n">
        <v>260</v>
      </c>
      <c r="C123" s="12" t="n">
        <v>34</v>
      </c>
      <c r="D123" s="5" t="n">
        <v>58.76</v>
      </c>
      <c r="E123" s="9">
        <f>D123+1.5</f>
        <v/>
      </c>
      <c r="F123" s="9">
        <f>D123-1.5</f>
        <v/>
      </c>
      <c r="G123" s="25" t="n">
        <v>59.62</v>
      </c>
      <c r="H123" s="6">
        <f>IF(OR(K123&gt;E123,K123&lt;F123),"FAIL","PASS")</f>
        <v/>
      </c>
      <c r="I123" s="7">
        <f>G123-D123</f>
        <v/>
      </c>
      <c r="J123" s="8">
        <f>IF(G123&gt;300,G123-360,0)</f>
        <v/>
      </c>
      <c r="K123" s="8">
        <f>IF(J123=0,G123,J123)</f>
        <v/>
      </c>
    </row>
    <row r="124" ht="15" customHeight="1">
      <c r="A124" s="12" t="n">
        <v>114</v>
      </c>
      <c r="B124" s="12" t="n">
        <v>262</v>
      </c>
      <c r="C124" s="12" t="n">
        <v>206</v>
      </c>
      <c r="D124" s="5" t="n">
        <v>55.54</v>
      </c>
      <c r="E124" s="9">
        <f>D124+1.5</f>
        <v/>
      </c>
      <c r="F124" s="9">
        <f>D124-1.5</f>
        <v/>
      </c>
      <c r="G124" s="25" t="n">
        <v>56.45</v>
      </c>
      <c r="H124" s="6">
        <f>IF(OR(K124&gt;E124,K124&lt;F124),"FAIL","PASS")</f>
        <v/>
      </c>
      <c r="I124" s="7">
        <f>G124-D124</f>
        <v/>
      </c>
      <c r="J124" s="8">
        <f>IF(G124&gt;300,G124-360,0)</f>
        <v/>
      </c>
      <c r="K124" s="8">
        <f>IF(J124=0,G124,J124)</f>
        <v/>
      </c>
    </row>
    <row r="125" ht="15" customHeight="1">
      <c r="A125" s="12" t="n">
        <v>115</v>
      </c>
      <c r="B125" s="12" t="n">
        <v>265</v>
      </c>
      <c r="C125" s="12" t="n">
        <v>18</v>
      </c>
      <c r="D125" s="5" t="n">
        <v>52.21</v>
      </c>
      <c r="E125" s="9">
        <f>D125+1.5</f>
        <v/>
      </c>
      <c r="F125" s="9">
        <f>D125-1.5</f>
        <v/>
      </c>
      <c r="G125" s="25" t="n">
        <v>53.16</v>
      </c>
      <c r="H125" s="6">
        <f>IF(OR(K125&gt;E125,K125&lt;F125),"FAIL","PASS")</f>
        <v/>
      </c>
      <c r="I125" s="7">
        <f>G125-D125</f>
        <v/>
      </c>
      <c r="J125" s="8">
        <f>IF(G125&gt;300,G125-360,0)</f>
        <v/>
      </c>
      <c r="K125" s="8">
        <f>IF(J125=0,G125,J125)</f>
        <v/>
      </c>
    </row>
    <row r="126" ht="15" customHeight="1">
      <c r="A126" s="12" t="n">
        <v>116</v>
      </c>
      <c r="B126" s="12" t="n">
        <v>267</v>
      </c>
      <c r="C126" s="12" t="n">
        <v>190</v>
      </c>
      <c r="D126" s="5" t="n">
        <v>48.71</v>
      </c>
      <c r="E126" s="9">
        <f>D126+1.5</f>
        <v/>
      </c>
      <c r="F126" s="9">
        <f>D126-1.5</f>
        <v/>
      </c>
      <c r="G126" s="25" t="n">
        <v>49.67</v>
      </c>
      <c r="H126" s="6">
        <f>IF(OR(K126&gt;E126,K126&lt;F126),"FAIL","PASS")</f>
        <v/>
      </c>
      <c r="I126" s="7">
        <f>G126-D126</f>
        <v/>
      </c>
      <c r="J126" s="8">
        <f>IF(G126&gt;300,G126-360,0)</f>
        <v/>
      </c>
      <c r="K126" s="8">
        <f>IF(J126=0,G126,J126)</f>
        <v/>
      </c>
    </row>
    <row r="127" ht="15" customHeight="1">
      <c r="A127" s="15" t="n">
        <v>117</v>
      </c>
      <c r="B127" s="12" t="n">
        <v>270</v>
      </c>
      <c r="C127" s="12" t="n">
        <v>1</v>
      </c>
      <c r="D127" s="5" t="n">
        <v>45.53</v>
      </c>
      <c r="E127" s="9">
        <f>D127+1.5</f>
        <v/>
      </c>
      <c r="F127" s="9">
        <f>D127-1.5</f>
        <v/>
      </c>
      <c r="G127" s="25" t="n">
        <v>46.45</v>
      </c>
      <c r="H127" s="6">
        <f>IF(OR(K127&gt;E127,K127&lt;F127),"FAIL","PASS")</f>
        <v/>
      </c>
      <c r="I127" s="7">
        <f>G127-D127</f>
        <v/>
      </c>
      <c r="J127" s="8">
        <f>IF(G127&gt;300,G127-360,0)</f>
        <v/>
      </c>
      <c r="K127" s="8">
        <f>IF(J127=0,G127,J127)</f>
        <v/>
      </c>
    </row>
    <row r="128" ht="15" customHeight="1">
      <c r="A128" s="12" t="n">
        <v>118</v>
      </c>
      <c r="B128" s="12" t="n">
        <v>272</v>
      </c>
      <c r="C128" s="12" t="n">
        <v>173</v>
      </c>
      <c r="D128" s="5" t="n">
        <v>42.8</v>
      </c>
      <c r="E128" s="9">
        <f>D128+1.5</f>
        <v/>
      </c>
      <c r="F128" s="9">
        <f>D128-1.5</f>
        <v/>
      </c>
      <c r="G128" s="25" t="n">
        <v>43.71</v>
      </c>
      <c r="H128" s="6">
        <f>IF(OR(K128&gt;E128,K128&lt;F128),"FAIL","PASS")</f>
        <v/>
      </c>
      <c r="I128" s="7">
        <f>G128-D128</f>
        <v/>
      </c>
      <c r="J128" s="8">
        <f>IF(G128&gt;300,G128-360,0)</f>
        <v/>
      </c>
      <c r="K128" s="8">
        <f>IF(J128=0,G128,J128)</f>
        <v/>
      </c>
    </row>
    <row r="129" ht="15" customHeight="1">
      <c r="A129" s="12" t="n">
        <v>119</v>
      </c>
      <c r="B129" s="12" t="n">
        <v>274</v>
      </c>
      <c r="C129" s="12" t="n">
        <v>345</v>
      </c>
      <c r="D129" s="5" t="n">
        <v>40.14</v>
      </c>
      <c r="E129" s="9">
        <f>D129+1.5</f>
        <v/>
      </c>
      <c r="F129" s="9">
        <f>D129-1.5</f>
        <v/>
      </c>
      <c r="G129" s="25" t="n">
        <v>41.14</v>
      </c>
      <c r="H129" s="6">
        <f>IF(OR(K129&gt;E129,K129&lt;F129),"FAIL","PASS")</f>
        <v/>
      </c>
      <c r="I129" s="7">
        <f>G129-D129</f>
        <v/>
      </c>
      <c r="J129" s="8">
        <f>IF(G129&gt;300,G129-360,0)</f>
        <v/>
      </c>
      <c r="K129" s="8">
        <f>IF(J129=0,G129,J129)</f>
        <v/>
      </c>
    </row>
    <row r="130" ht="15" customHeight="1">
      <c r="A130" s="12" t="n">
        <v>120</v>
      </c>
      <c r="B130" s="12" t="n">
        <v>277</v>
      </c>
      <c r="C130" s="12" t="n">
        <v>157</v>
      </c>
      <c r="D130" s="5" t="n">
        <v>37.78</v>
      </c>
      <c r="E130" s="9">
        <f>D130+1.5</f>
        <v/>
      </c>
      <c r="F130" s="9">
        <f>D130-1.5</f>
        <v/>
      </c>
      <c r="G130" s="25" t="n">
        <v>38.5</v>
      </c>
      <c r="H130" s="6">
        <f>IF(OR(K130&gt;E130,K130&lt;F130),"FAIL","PASS")</f>
        <v/>
      </c>
      <c r="I130" s="7">
        <f>G130-D130</f>
        <v/>
      </c>
      <c r="J130" s="8">
        <f>IF(G130&gt;300,G130-360,0)</f>
        <v/>
      </c>
      <c r="K130" s="8">
        <f>IF(J130=0,G130,J130)</f>
        <v/>
      </c>
    </row>
    <row r="131" ht="15" customHeight="1">
      <c r="A131" s="12" t="n">
        <v>121</v>
      </c>
      <c r="B131" s="12" t="n">
        <v>276</v>
      </c>
      <c r="C131" s="12" t="n">
        <v>238</v>
      </c>
      <c r="D131" s="5" t="n">
        <v>37</v>
      </c>
      <c r="E131" s="9">
        <f>D131+1.5</f>
        <v/>
      </c>
      <c r="F131" s="9">
        <f>D131-1.5</f>
        <v/>
      </c>
      <c r="G131" s="25" t="n">
        <v>37.54</v>
      </c>
      <c r="H131" s="6">
        <f>IF(OR(K131&gt;E131,K131&lt;F131),"FAIL","PASS")</f>
        <v/>
      </c>
      <c r="I131" s="7">
        <f>G131-D131</f>
        <v/>
      </c>
      <c r="J131" s="8">
        <f>IF(G131&gt;300,G131-360,0)</f>
        <v/>
      </c>
      <c r="K131" s="8">
        <f>IF(J131=0,G131,J131)</f>
        <v/>
      </c>
    </row>
    <row r="132" ht="15" customHeight="1">
      <c r="A132" s="12" t="n">
        <v>122</v>
      </c>
      <c r="B132" s="12" t="n">
        <v>279</v>
      </c>
      <c r="C132" s="12" t="n">
        <v>328</v>
      </c>
      <c r="D132" s="5" t="n">
        <v>36.37</v>
      </c>
      <c r="E132" s="9">
        <f>D132+1.5</f>
        <v/>
      </c>
      <c r="F132" s="9">
        <f>D132-1.5</f>
        <v/>
      </c>
      <c r="G132" s="25" t="n">
        <v>36.93</v>
      </c>
      <c r="H132" s="6">
        <f>IF(OR(K132&gt;E132,K132&lt;F132),"FAIL","PASS")</f>
        <v/>
      </c>
      <c r="I132" s="7">
        <f>G132-D132</f>
        <v/>
      </c>
      <c r="J132" s="8">
        <f>IF(G132&gt;300,G132-360,0)</f>
        <v/>
      </c>
      <c r="K132" s="8">
        <f>IF(J132=0,G132,J132)</f>
        <v/>
      </c>
    </row>
    <row r="133" ht="15" customHeight="1">
      <c r="A133" s="12" t="n">
        <v>123</v>
      </c>
      <c r="B133" s="12" t="n">
        <v>282</v>
      </c>
      <c r="C133" s="12" t="n">
        <v>140</v>
      </c>
      <c r="D133" s="5" t="n">
        <v>35.79</v>
      </c>
      <c r="E133" s="9">
        <f>D133+1.5</f>
        <v/>
      </c>
      <c r="F133" s="9">
        <f>D133-1.5</f>
        <v/>
      </c>
      <c r="G133" s="25" t="n">
        <v>36.5</v>
      </c>
      <c r="H133" s="6">
        <f>IF(OR(K133&gt;E133,K133&lt;F133),"FAIL","PASS")</f>
        <v/>
      </c>
      <c r="I133" s="7">
        <f>G133-D133</f>
        <v/>
      </c>
      <c r="J133" s="8">
        <f>IF(G133&gt;300,G133-360,0)</f>
        <v/>
      </c>
      <c r="K133" s="8">
        <f>IF(J133=0,G133,J133)</f>
        <v/>
      </c>
    </row>
    <row r="134" ht="15" customHeight="1">
      <c r="A134" s="12" t="n">
        <v>124</v>
      </c>
      <c r="B134" s="12" t="n">
        <v>284</v>
      </c>
      <c r="C134" s="12" t="n">
        <v>312</v>
      </c>
      <c r="D134" s="5" t="n">
        <v>35.24</v>
      </c>
      <c r="E134" s="9">
        <f>D134+1.5</f>
        <v/>
      </c>
      <c r="F134" s="9">
        <f>D134-1.5</f>
        <v/>
      </c>
      <c r="G134" s="25" t="n">
        <v>35.92</v>
      </c>
      <c r="H134" s="6">
        <f>IF(OR(K134&gt;E134,K134&lt;F134),"FAIL","PASS")</f>
        <v/>
      </c>
      <c r="I134" s="7">
        <f>G134-D134</f>
        <v/>
      </c>
      <c r="J134" s="8">
        <f>IF(G134&gt;300,G134-360,0)</f>
        <v/>
      </c>
      <c r="K134" s="8">
        <f>IF(J134=0,G134,J134)</f>
        <v/>
      </c>
    </row>
    <row r="135" ht="15" customHeight="1">
      <c r="A135" s="12" t="n">
        <v>125</v>
      </c>
      <c r="B135" s="12" t="n">
        <v>287</v>
      </c>
      <c r="C135" s="12" t="n">
        <v>124</v>
      </c>
      <c r="D135" s="5" t="n">
        <v>34.6</v>
      </c>
      <c r="E135" s="9">
        <f>D135+1.5</f>
        <v/>
      </c>
      <c r="F135" s="9">
        <f>D135-1.5</f>
        <v/>
      </c>
      <c r="G135" s="25" t="n">
        <v>35.28</v>
      </c>
      <c r="H135" s="6">
        <f>IF(OR(K135&gt;E135,K135&lt;F135),"FAIL","PASS")</f>
        <v/>
      </c>
      <c r="I135" s="7">
        <f>G135-D135</f>
        <v/>
      </c>
      <c r="J135" s="8">
        <f>IF(G135&gt;300,G135-360,0)</f>
        <v/>
      </c>
      <c r="K135" s="8">
        <f>IF(J135=0,G135,J135)</f>
        <v/>
      </c>
    </row>
    <row r="136" ht="15" customHeight="1">
      <c r="A136" s="12" t="n">
        <v>126</v>
      </c>
      <c r="B136" s="12" t="n">
        <v>289</v>
      </c>
      <c r="C136" s="12" t="n">
        <v>295</v>
      </c>
      <c r="D136" s="5" t="n">
        <v>33.8</v>
      </c>
      <c r="E136" s="9">
        <f>D136+1.5</f>
        <v/>
      </c>
      <c r="F136" s="9">
        <f>D136-1.5</f>
        <v/>
      </c>
      <c r="G136" s="25" t="n">
        <v>34.49</v>
      </c>
      <c r="H136" s="6">
        <f>IF(OR(K136&gt;E136,K136&lt;F136),"FAIL","PASS")</f>
        <v/>
      </c>
      <c r="I136" s="7">
        <f>G136-D136</f>
        <v/>
      </c>
      <c r="J136" s="8">
        <f>IF(G136&gt;300,G136-360,0)</f>
        <v/>
      </c>
      <c r="K136" s="8">
        <f>IF(J136=0,G136,J136)</f>
        <v/>
      </c>
    </row>
    <row r="137" ht="15" customHeight="1">
      <c r="A137" s="12" t="n">
        <v>127</v>
      </c>
      <c r="B137" s="12" t="n">
        <v>292</v>
      </c>
      <c r="C137" s="12" t="n">
        <v>107</v>
      </c>
      <c r="D137" s="5" t="n">
        <v>33.09</v>
      </c>
      <c r="E137" s="9">
        <f>D137+1.5</f>
        <v/>
      </c>
      <c r="F137" s="9">
        <f>D137-1.5</f>
        <v/>
      </c>
      <c r="G137" s="25" t="n">
        <v>33.73</v>
      </c>
      <c r="H137" s="6">
        <f>IF(OR(K137&gt;E137,K137&lt;F137),"FAIL","PASS")</f>
        <v/>
      </c>
      <c r="I137" s="7">
        <f>G137-D137</f>
        <v/>
      </c>
      <c r="J137" s="8">
        <f>IF(G137&gt;300,G137-360,0)</f>
        <v/>
      </c>
      <c r="K137" s="8">
        <f>IF(J137=0,G137,J137)</f>
        <v/>
      </c>
    </row>
    <row r="138" ht="15" customHeight="1">
      <c r="A138" s="12" t="n">
        <v>128</v>
      </c>
      <c r="B138" s="12" t="n">
        <v>294</v>
      </c>
      <c r="C138" s="12" t="n">
        <v>279</v>
      </c>
      <c r="D138" s="5" t="n">
        <v>32.46</v>
      </c>
      <c r="E138" s="9">
        <f>D138+1.5</f>
        <v/>
      </c>
      <c r="F138" s="9">
        <f>D138-1.5</f>
        <v/>
      </c>
      <c r="G138" s="25" t="n">
        <v>33.1</v>
      </c>
      <c r="H138" s="6">
        <f>IF(OR(K138&gt;E138,K138&lt;F138),"FAIL","PASS")</f>
        <v/>
      </c>
      <c r="I138" s="7">
        <f>G138-D138</f>
        <v/>
      </c>
      <c r="J138" s="8">
        <f>IF(G138&gt;300,G138-360,0)</f>
        <v/>
      </c>
      <c r="K138" s="8">
        <f>IF(J138=0,G138,J138)</f>
        <v/>
      </c>
    </row>
    <row r="139" ht="15" customHeight="1">
      <c r="A139" s="12" t="n">
        <v>129</v>
      </c>
      <c r="B139" s="12" t="n">
        <v>297</v>
      </c>
      <c r="C139" s="12" t="n">
        <v>91</v>
      </c>
      <c r="D139" s="5" t="n">
        <v>31.79</v>
      </c>
      <c r="E139" s="9">
        <f>D139+1.5</f>
        <v/>
      </c>
      <c r="F139" s="9">
        <f>D139-1.5</f>
        <v/>
      </c>
      <c r="G139" s="25" t="n">
        <v>32.39</v>
      </c>
      <c r="H139" s="6">
        <f>IF(OR(K139&gt;E139,K139&lt;F139),"FAIL","PASS")</f>
        <v/>
      </c>
      <c r="I139" s="7">
        <f>G139-D139</f>
        <v/>
      </c>
      <c r="J139" s="8">
        <f>IF(G139&gt;300,G139-360,0)</f>
        <v/>
      </c>
      <c r="K139" s="8">
        <f>IF(J139=0,G139,J139)</f>
        <v/>
      </c>
    </row>
    <row r="140" ht="15" customHeight="1">
      <c r="A140" s="11" t="n">
        <v>130</v>
      </c>
      <c r="B140" s="12" t="n">
        <v>299</v>
      </c>
      <c r="C140" s="12" t="n">
        <v>263</v>
      </c>
      <c r="D140" s="5" t="n">
        <v>31.1</v>
      </c>
      <c r="E140" s="9">
        <f>D140+1.5</f>
        <v/>
      </c>
      <c r="F140" s="9">
        <f>D140-1.5</f>
        <v/>
      </c>
      <c r="G140" s="25" t="n">
        <v>31.79</v>
      </c>
      <c r="H140" s="6">
        <f>IF(OR(K140&gt;E140,K140&lt;F140),"FAIL","PASS")</f>
        <v/>
      </c>
      <c r="I140" s="7">
        <f>G140-D140</f>
        <v/>
      </c>
      <c r="J140" s="8">
        <f>IF(G140&gt;300,G140-360,0)</f>
        <v/>
      </c>
      <c r="K140" s="8">
        <f>IF(J140=0,G140,J140)</f>
        <v/>
      </c>
    </row>
    <row r="141" ht="12.75" customHeight="1">
      <c r="A141" s="15" t="n">
        <v>131</v>
      </c>
      <c r="B141" s="11" t="inlineStr">
        <is>
          <t xml:space="preserve">302
</t>
        </is>
      </c>
      <c r="C141" s="11" t="n">
        <v>74</v>
      </c>
      <c r="D141" s="5" t="n">
        <v>30.44</v>
      </c>
      <c r="E141" s="9">
        <f>D141+1.5</f>
        <v/>
      </c>
      <c r="F141" s="9">
        <f>D141-1.5</f>
        <v/>
      </c>
      <c r="G141" s="25" t="n">
        <v>31.17</v>
      </c>
      <c r="H141" s="6">
        <f>IF(OR(K141&gt;E141,K141&lt;F141),"FAIL","PASS")</f>
        <v/>
      </c>
      <c r="I141" s="7">
        <f>G141-D141</f>
        <v/>
      </c>
      <c r="J141" s="8">
        <f>IF(G141&gt;300,G141-360,0)</f>
        <v/>
      </c>
      <c r="K141" s="8">
        <f>IF(J141=0,G141,J141)</f>
        <v/>
      </c>
    </row>
    <row r="142" ht="15" customHeight="1">
      <c r="A142" s="12" t="n">
        <v>132</v>
      </c>
      <c r="B142" s="12" t="n">
        <v>304</v>
      </c>
      <c r="C142" s="12" t="n">
        <v>246</v>
      </c>
      <c r="D142" s="5" t="n">
        <v>29.78</v>
      </c>
      <c r="E142" s="9">
        <f>D142+1.5</f>
        <v/>
      </c>
      <c r="F142" s="9">
        <f>D142-1.5</f>
        <v/>
      </c>
      <c r="G142" s="25" t="n">
        <v>30.5</v>
      </c>
      <c r="H142" s="6">
        <f>IF(OR(K142&gt;E142,K142&lt;F142),"FAIL","PASS")</f>
        <v/>
      </c>
      <c r="I142" s="7">
        <f>G142-D142</f>
        <v/>
      </c>
      <c r="J142" s="8">
        <f>IF(G142&gt;300,G142-360,0)</f>
        <v/>
      </c>
      <c r="K142" s="8">
        <f>IF(J142=0,G142,J142)</f>
        <v/>
      </c>
    </row>
    <row r="143" ht="15" customHeight="1">
      <c r="A143" s="12" t="n">
        <v>133</v>
      </c>
      <c r="B143" s="12" t="n">
        <v>307</v>
      </c>
      <c r="C143" s="12" t="n">
        <v>58</v>
      </c>
      <c r="D143" s="5" t="n">
        <v>29.15</v>
      </c>
      <c r="E143" s="9">
        <f>D143+1.5</f>
        <v/>
      </c>
      <c r="F143" s="9">
        <f>D143-1.5</f>
        <v/>
      </c>
      <c r="G143" s="25" t="n">
        <v>29.89</v>
      </c>
      <c r="H143" s="6">
        <f>IF(OR(K143&gt;E143,K143&lt;F143),"FAIL","PASS")</f>
        <v/>
      </c>
      <c r="I143" s="7">
        <f>G143-D143</f>
        <v/>
      </c>
      <c r="J143" s="8">
        <f>IF(G143&gt;300,G143-360,0)</f>
        <v/>
      </c>
      <c r="K143" s="8">
        <f>IF(J143=0,G143,J143)</f>
        <v/>
      </c>
    </row>
    <row r="144" ht="15" customHeight="1">
      <c r="A144" s="12" t="n">
        <v>134</v>
      </c>
      <c r="B144" s="12" t="n">
        <v>309</v>
      </c>
      <c r="C144" s="12" t="n">
        <v>230</v>
      </c>
      <c r="D144" s="5" t="n">
        <v>28.49</v>
      </c>
      <c r="E144" s="9">
        <f>D144+1.5</f>
        <v/>
      </c>
      <c r="F144" s="9">
        <f>D144-1.5</f>
        <v/>
      </c>
      <c r="G144" s="25" t="n">
        <v>29.19</v>
      </c>
      <c r="H144" s="6">
        <f>IF(OR(K144&gt;E144,K144&lt;F144),"FAIL","PASS")</f>
        <v/>
      </c>
      <c r="I144" s="7">
        <f>G144-D144</f>
        <v/>
      </c>
      <c r="J144" s="8">
        <f>IF(G144&gt;300,G144-360,0)</f>
        <v/>
      </c>
      <c r="K144" s="8">
        <f>IF(J144=0,G144,J144)</f>
        <v/>
      </c>
    </row>
    <row r="145" ht="15" customHeight="1">
      <c r="A145" s="12" t="n">
        <v>135</v>
      </c>
      <c r="B145" s="12" t="n">
        <v>312</v>
      </c>
      <c r="C145" s="12" t="n">
        <v>41</v>
      </c>
      <c r="D145" s="5" t="n">
        <v>27.83</v>
      </c>
      <c r="E145" s="9">
        <f>D145+1.5</f>
        <v/>
      </c>
      <c r="F145" s="9">
        <f>D145-1.5</f>
        <v/>
      </c>
      <c r="G145" s="25" t="n">
        <v>28.58</v>
      </c>
      <c r="H145" s="6">
        <f>IF(OR(K145&gt;E145,K145&lt;F145),"FAIL","PASS")</f>
        <v/>
      </c>
      <c r="I145" s="7">
        <f>G145-D145</f>
        <v/>
      </c>
      <c r="J145" s="8">
        <f>IF(G145&gt;300,G145-360,0)</f>
        <v/>
      </c>
      <c r="K145" s="8">
        <f>IF(J145=0,G145,J145)</f>
        <v/>
      </c>
    </row>
    <row r="146" ht="15" customHeight="1">
      <c r="A146" s="12" t="n">
        <v>136</v>
      </c>
      <c r="B146" s="12" t="n">
        <v>314</v>
      </c>
      <c r="C146" s="15" t="n">
        <v>213</v>
      </c>
      <c r="D146" s="5" t="n">
        <v>27.18</v>
      </c>
      <c r="E146" s="9">
        <f>D146+1.5</f>
        <v/>
      </c>
      <c r="F146" s="9">
        <f>D146-1.5</f>
        <v/>
      </c>
      <c r="G146" s="25" t="n">
        <v>27.87</v>
      </c>
      <c r="H146" s="6">
        <f>IF(OR(K146&gt;E146,K146&lt;F146),"FAIL","PASS")</f>
        <v/>
      </c>
      <c r="I146" s="7">
        <f>G146-D146</f>
        <v/>
      </c>
      <c r="J146" s="8">
        <f>IF(G146&gt;300,G146-360,0)</f>
        <v/>
      </c>
      <c r="K146" s="8">
        <f>IF(J146=0,G146,J146)</f>
        <v/>
      </c>
    </row>
    <row r="147" ht="15" customHeight="1">
      <c r="A147" s="12" t="n">
        <v>137</v>
      </c>
      <c r="B147" s="12" t="n">
        <v>317</v>
      </c>
      <c r="C147" s="12" t="n">
        <v>25</v>
      </c>
      <c r="D147" s="5" t="n">
        <v>26.51</v>
      </c>
      <c r="E147" s="9">
        <f>D147+1.5</f>
        <v/>
      </c>
      <c r="F147" s="9">
        <f>D147-1.5</f>
        <v/>
      </c>
      <c r="G147" s="25" t="n">
        <v>27.22</v>
      </c>
      <c r="H147" s="6">
        <f>IF(OR(K147&gt;E147,K147&lt;F147),"FAIL","PASS")</f>
        <v/>
      </c>
      <c r="I147" s="7">
        <f>G147-D147</f>
        <v/>
      </c>
      <c r="J147" s="8">
        <f>IF(G147&gt;300,G147-360,0)</f>
        <v/>
      </c>
      <c r="K147" s="8">
        <f>IF(J147=0,G147,J147)</f>
        <v/>
      </c>
    </row>
    <row r="148" ht="15" customHeight="1">
      <c r="A148" s="12" t="n">
        <v>138</v>
      </c>
      <c r="B148" s="12" t="n">
        <v>319</v>
      </c>
      <c r="C148" s="12" t="n">
        <v>197</v>
      </c>
      <c r="D148" s="5" t="n">
        <v>25.83</v>
      </c>
      <c r="E148" s="9">
        <f>D148+1.5</f>
        <v/>
      </c>
      <c r="F148" s="9">
        <f>D148-1.5</f>
        <v/>
      </c>
      <c r="G148" s="25" t="n">
        <v>26.56</v>
      </c>
      <c r="H148" s="6">
        <f>IF(OR(K148&gt;E148,K148&lt;F148),"FAIL","PASS")</f>
        <v/>
      </c>
      <c r="I148" s="7">
        <f>G148-D148</f>
        <v/>
      </c>
      <c r="J148" s="8">
        <f>IF(G148&gt;300,G148-360,0)</f>
        <v/>
      </c>
      <c r="K148" s="8">
        <f>IF(J148=0,G148,J148)</f>
        <v/>
      </c>
    </row>
    <row r="149" ht="15" customHeight="1">
      <c r="A149" s="12" t="n">
        <v>139</v>
      </c>
      <c r="B149" s="12" t="n">
        <v>322</v>
      </c>
      <c r="C149" s="12" t="n">
        <v>8</v>
      </c>
      <c r="D149" s="5" t="n">
        <v>25.18</v>
      </c>
      <c r="E149" s="9">
        <f>D149+1.5</f>
        <v/>
      </c>
      <c r="F149" s="9">
        <f>D149-1.5</f>
        <v/>
      </c>
      <c r="G149" s="25" t="n">
        <v>25.9</v>
      </c>
      <c r="H149" s="6">
        <f>IF(OR(K149&gt;E149,K149&lt;F149),"FAIL","PASS")</f>
        <v/>
      </c>
      <c r="I149" s="7">
        <f>G149-D149</f>
        <v/>
      </c>
      <c r="J149" s="8">
        <f>IF(G149&gt;300,G149-360,0)</f>
        <v/>
      </c>
      <c r="K149" s="8">
        <f>IF(J149=0,G149,J149)</f>
        <v/>
      </c>
    </row>
    <row r="150" ht="15" customHeight="1">
      <c r="A150" s="12" t="n">
        <v>140</v>
      </c>
      <c r="B150" s="12" t="n">
        <v>324</v>
      </c>
      <c r="C150" s="12" t="n">
        <v>180</v>
      </c>
      <c r="D150" s="5" t="n">
        <v>24.55</v>
      </c>
      <c r="E150" s="9">
        <f>D150+1.5</f>
        <v/>
      </c>
      <c r="F150" s="9">
        <f>D150-1.5</f>
        <v/>
      </c>
      <c r="G150" s="25" t="n">
        <v>25.17</v>
      </c>
      <c r="H150" s="6">
        <f>IF(OR(K150&gt;E150,K150&lt;F150),"FAIL","PASS")</f>
        <v/>
      </c>
      <c r="I150" s="7">
        <f>G150-D150</f>
        <v/>
      </c>
      <c r="J150" s="8">
        <f>IF(G150&gt;300,G150-360,0)</f>
        <v/>
      </c>
      <c r="K150" s="8">
        <f>IF(J150=0,G150,J150)</f>
        <v/>
      </c>
    </row>
    <row r="151" ht="15" customHeight="1">
      <c r="A151" s="12" t="n">
        <v>141</v>
      </c>
      <c r="B151" s="12" t="n">
        <v>326</v>
      </c>
      <c r="C151" s="12" t="n">
        <v>352</v>
      </c>
      <c r="D151" s="5" t="n">
        <v>23.9</v>
      </c>
      <c r="E151" s="9">
        <f>D151+1.5</f>
        <v/>
      </c>
      <c r="F151" s="9">
        <f>D151-1.5</f>
        <v/>
      </c>
      <c r="G151" s="25" t="n">
        <v>24.51</v>
      </c>
      <c r="H151" s="6">
        <f>IF(OR(K151&gt;E151,K151&lt;F151),"FAIL","PASS")</f>
        <v/>
      </c>
      <c r="I151" s="7">
        <f>G151-D151</f>
        <v/>
      </c>
      <c r="J151" s="8">
        <f>IF(G151&gt;300,G151-360,0)</f>
        <v/>
      </c>
      <c r="K151" s="8">
        <f>IF(J151=0,G151,J151)</f>
        <v/>
      </c>
    </row>
    <row r="152" ht="15" customHeight="1">
      <c r="A152" s="12" t="n">
        <v>142</v>
      </c>
      <c r="B152" s="12" t="n">
        <v>329</v>
      </c>
      <c r="C152" s="12" t="n">
        <v>164</v>
      </c>
      <c r="D152" s="5" t="n">
        <v>23.22</v>
      </c>
      <c r="E152" s="9">
        <f>D152+1.5</f>
        <v/>
      </c>
      <c r="F152" s="9">
        <f>D152-1.5</f>
        <v/>
      </c>
      <c r="G152" s="25" t="n">
        <v>23.8</v>
      </c>
      <c r="H152" s="6">
        <f>IF(OR(K152&gt;E152,K152&lt;F152),"FAIL","PASS")</f>
        <v/>
      </c>
      <c r="I152" s="7">
        <f>G152-D152</f>
        <v/>
      </c>
      <c r="J152" s="8">
        <f>IF(G152&gt;300,G152-360,0)</f>
        <v/>
      </c>
      <c r="K152" s="8">
        <f>IF(J152=0,G152,J152)</f>
        <v/>
      </c>
    </row>
    <row r="153" ht="15" customHeight="1">
      <c r="A153" s="12" t="n">
        <v>143</v>
      </c>
      <c r="B153" s="12" t="n">
        <v>331</v>
      </c>
      <c r="C153" s="12" t="n">
        <v>335</v>
      </c>
      <c r="D153" s="5" t="n">
        <v>22.59</v>
      </c>
      <c r="E153" s="9">
        <f>D153+1.5</f>
        <v/>
      </c>
      <c r="F153" s="9">
        <f>D153-1.5</f>
        <v/>
      </c>
      <c r="G153" s="25" t="n">
        <v>23.15</v>
      </c>
      <c r="H153" s="6">
        <f>IF(OR(K153&gt;E153,K153&lt;F153),"FAIL","PASS")</f>
        <v/>
      </c>
      <c r="I153" s="7">
        <f>G153-D153</f>
        <v/>
      </c>
      <c r="J153" s="8">
        <f>IF(G153&gt;300,G153-360,0)</f>
        <v/>
      </c>
      <c r="K153" s="8">
        <f>IF(J153=0,G153,J153)</f>
        <v/>
      </c>
    </row>
    <row r="154" ht="15" customHeight="1">
      <c r="A154" s="12" t="n">
        <v>144</v>
      </c>
      <c r="B154" s="12" t="n">
        <v>334</v>
      </c>
      <c r="C154" s="12" t="n">
        <v>147</v>
      </c>
      <c r="D154" s="5" t="n">
        <v>21.94</v>
      </c>
      <c r="E154" s="9">
        <f>D154+1.5</f>
        <v/>
      </c>
      <c r="F154" s="9">
        <f>D154-1.5</f>
        <v/>
      </c>
      <c r="G154" s="25" t="n">
        <v>22.48</v>
      </c>
      <c r="H154" s="6">
        <f>IF(OR(K154&gt;E154,K154&lt;F154),"FAIL","PASS")</f>
        <v/>
      </c>
      <c r="I154" s="7">
        <f>G154-D154</f>
        <v/>
      </c>
      <c r="J154" s="8">
        <f>IF(G154&gt;300,G154-360,0)</f>
        <v/>
      </c>
      <c r="K154" s="8">
        <f>IF(J154=0,G154,J154)</f>
        <v/>
      </c>
    </row>
    <row r="155" ht="15" customHeight="1">
      <c r="A155" s="12" t="n">
        <v>145</v>
      </c>
      <c r="B155" s="12" t="n">
        <v>336</v>
      </c>
      <c r="C155" s="12" t="n">
        <v>319</v>
      </c>
      <c r="D155" s="5" t="n">
        <v>21.28</v>
      </c>
      <c r="E155" s="9">
        <f>D155+1.5</f>
        <v/>
      </c>
      <c r="F155" s="9">
        <f>D155-1.5</f>
        <v/>
      </c>
      <c r="G155" s="25" t="n">
        <v>21.85</v>
      </c>
      <c r="H155" s="6">
        <f>IF(OR(K155&gt;E155,K155&lt;F155),"FAIL","PASS")</f>
        <v/>
      </c>
      <c r="I155" s="7">
        <f>G155-D155</f>
        <v/>
      </c>
      <c r="J155" s="8">
        <f>IF(G155&gt;300,G155-360,0)</f>
        <v/>
      </c>
      <c r="K155" s="8">
        <f>IF(J155=0,G155,J155)</f>
        <v/>
      </c>
    </row>
    <row r="156" ht="15" customHeight="1">
      <c r="A156" s="12" t="n">
        <v>146</v>
      </c>
      <c r="B156" s="12" t="n">
        <v>339</v>
      </c>
      <c r="C156" s="12" t="n">
        <v>131</v>
      </c>
      <c r="D156" s="5" t="n">
        <v>20.61</v>
      </c>
      <c r="E156" s="9">
        <f>D156+1.5</f>
        <v/>
      </c>
      <c r="F156" s="9">
        <f>D156-1.5</f>
        <v/>
      </c>
      <c r="G156" s="25" t="n">
        <v>21.17</v>
      </c>
      <c r="H156" s="6">
        <f>IF(OR(K156&gt;E156,K156&lt;F156),"FAIL","PASS")</f>
        <v/>
      </c>
      <c r="I156" s="7">
        <f>G156-D156</f>
        <v/>
      </c>
      <c r="J156" s="8">
        <f>IF(G156&gt;300,G156-360,0)</f>
        <v/>
      </c>
      <c r="K156" s="8">
        <f>IF(J156=0,G156,J156)</f>
        <v/>
      </c>
    </row>
    <row r="157" ht="15" customHeight="1">
      <c r="A157" s="12" t="n">
        <v>147</v>
      </c>
      <c r="B157" s="12" t="n">
        <v>341</v>
      </c>
      <c r="C157" s="12" t="n">
        <v>302</v>
      </c>
      <c r="D157" s="5" t="n">
        <v>19.96</v>
      </c>
      <c r="E157" s="9">
        <f>D157+1.5</f>
        <v/>
      </c>
      <c r="F157" s="9">
        <f>D157-1.5</f>
        <v/>
      </c>
      <c r="G157" s="25" t="n">
        <v>20.54</v>
      </c>
      <c r="H157" s="6">
        <f>IF(OR(K157&gt;E157,K157&lt;F157),"FAIL","PASS")</f>
        <v/>
      </c>
      <c r="I157" s="7">
        <f>G157-D157</f>
        <v/>
      </c>
      <c r="J157" s="8">
        <f>IF(G157&gt;300,G157-360,0)</f>
        <v/>
      </c>
      <c r="K157" s="8">
        <f>IF(J157=0,G157,J157)</f>
        <v/>
      </c>
    </row>
    <row r="158" ht="15" customHeight="1">
      <c r="A158" s="12" t="n">
        <v>148</v>
      </c>
      <c r="B158" s="12" t="n">
        <v>344</v>
      </c>
      <c r="C158" s="12" t="n">
        <v>114</v>
      </c>
      <c r="D158" s="5" t="n">
        <v>19.32</v>
      </c>
      <c r="E158" s="9">
        <f>D158+1.5</f>
        <v/>
      </c>
      <c r="F158" s="9">
        <f>D158-1.5</f>
        <v/>
      </c>
      <c r="G158" s="25" t="n">
        <v>19.85</v>
      </c>
      <c r="H158" s="6">
        <f>IF(OR(K158&gt;E158,K158&lt;F158),"FAIL","PASS")</f>
        <v/>
      </c>
      <c r="I158" s="7">
        <f>G158-D158</f>
        <v/>
      </c>
      <c r="J158" s="8">
        <f>IF(G158&gt;300,G158-360,0)</f>
        <v/>
      </c>
      <c r="K158" s="8">
        <f>IF(J158=0,G158,J158)</f>
        <v/>
      </c>
    </row>
    <row r="159" ht="15" customHeight="1">
      <c r="A159" s="12" t="n">
        <v>149</v>
      </c>
      <c r="B159" s="12" t="n">
        <v>346</v>
      </c>
      <c r="C159" s="12" t="n">
        <v>286</v>
      </c>
      <c r="D159" s="5" t="n">
        <v>18.65</v>
      </c>
      <c r="E159" s="9">
        <f>D159+1.5</f>
        <v/>
      </c>
      <c r="F159" s="9">
        <f>D159-1.5</f>
        <v/>
      </c>
      <c r="G159" s="25" t="n">
        <v>19.24</v>
      </c>
      <c r="H159" s="6">
        <f>IF(OR(K159&gt;E159,K159&lt;F159),"FAIL","PASS")</f>
        <v/>
      </c>
      <c r="I159" s="7">
        <f>G159-D159</f>
        <v/>
      </c>
      <c r="J159" s="8">
        <f>IF(G159&gt;300,G159-360,0)</f>
        <v/>
      </c>
      <c r="K159" s="8">
        <f>IF(J159=0,G159,J159)</f>
        <v/>
      </c>
    </row>
    <row r="160" ht="15" customHeight="1">
      <c r="A160" s="12" t="n">
        <v>150</v>
      </c>
      <c r="B160" s="12" t="n">
        <v>349</v>
      </c>
      <c r="C160" s="12" t="n">
        <v>98</v>
      </c>
      <c r="D160" s="5" t="n">
        <v>18</v>
      </c>
      <c r="E160" s="9">
        <f>D160+1.5</f>
        <v/>
      </c>
      <c r="F160" s="9">
        <f>D160-1.5</f>
        <v/>
      </c>
      <c r="G160" s="25" t="n">
        <v>18.57</v>
      </c>
      <c r="H160" s="6">
        <f>IF(OR(K160&gt;E160,K160&lt;F160),"FAIL","PASS")</f>
        <v/>
      </c>
      <c r="I160" s="7">
        <f>G160-D160</f>
        <v/>
      </c>
      <c r="J160" s="8">
        <f>IF(G160&gt;300,G160-360,0)</f>
        <v/>
      </c>
      <c r="K160" s="8">
        <f>IF(J160=0,G160,J160)</f>
        <v/>
      </c>
    </row>
    <row r="161" ht="15" customHeight="1">
      <c r="A161" s="12" t="n">
        <v>151</v>
      </c>
      <c r="B161" s="12" t="n">
        <v>351</v>
      </c>
      <c r="C161" s="12" t="n">
        <v>269</v>
      </c>
      <c r="D161" s="5" t="n">
        <v>17.36</v>
      </c>
      <c r="E161" s="9">
        <f>D161+1.5</f>
        <v/>
      </c>
      <c r="F161" s="9">
        <f>D161-1.5</f>
        <v/>
      </c>
      <c r="G161" s="25" t="n">
        <v>17.92</v>
      </c>
      <c r="H161" s="6">
        <f>IF(OR(K161&gt;E161,K161&lt;F161),"FAIL","PASS")</f>
        <v/>
      </c>
      <c r="I161" s="7">
        <f>G161-D161</f>
        <v/>
      </c>
      <c r="J161" s="8">
        <f>IF(G161&gt;300,G161-360,0)</f>
        <v/>
      </c>
      <c r="K161" s="8">
        <f>IF(J161=0,G161,J161)</f>
        <v/>
      </c>
    </row>
    <row r="162" ht="15" customHeight="1">
      <c r="A162" s="12" t="n">
        <v>152</v>
      </c>
      <c r="B162" s="12" t="n">
        <v>354</v>
      </c>
      <c r="C162" s="12" t="n">
        <v>81</v>
      </c>
      <c r="D162" s="5" t="n">
        <v>16.68</v>
      </c>
      <c r="E162" s="9">
        <f>D162+1.5</f>
        <v/>
      </c>
      <c r="F162" s="9">
        <f>D162-1.5</f>
        <v/>
      </c>
      <c r="G162" s="25" t="n">
        <v>17.25</v>
      </c>
      <c r="H162" s="6">
        <f>IF(OR(K162&gt;E162,K162&lt;F162),"FAIL","PASS")</f>
        <v/>
      </c>
      <c r="I162" s="7">
        <f>G162-D162</f>
        <v/>
      </c>
      <c r="J162" s="8">
        <f>IF(G162&gt;300,G162-360,0)</f>
        <v/>
      </c>
      <c r="K162" s="8">
        <f>IF(J162=0,G162,J162)</f>
        <v/>
      </c>
    </row>
    <row r="163" ht="15" customHeight="1">
      <c r="A163" s="12" t="n">
        <v>153</v>
      </c>
      <c r="B163" s="12" t="n">
        <v>356</v>
      </c>
      <c r="C163" s="12" t="n">
        <v>253</v>
      </c>
      <c r="D163" s="5" t="n">
        <v>15.98</v>
      </c>
      <c r="E163" s="9">
        <f>D163+1.5</f>
        <v/>
      </c>
      <c r="F163" s="9">
        <f>D163-1.5</f>
        <v/>
      </c>
      <c r="G163" s="25" t="n">
        <v>16.63</v>
      </c>
      <c r="H163" s="6">
        <f>IF(OR(K163&gt;E163,K163&lt;F163),"FAIL","PASS")</f>
        <v/>
      </c>
      <c r="I163" s="7">
        <f>G163-D163</f>
        <v/>
      </c>
      <c r="J163" s="8">
        <f>IF(G163&gt;300,G163-360,0)</f>
        <v/>
      </c>
      <c r="K163" s="8">
        <f>IF(J163=0,G163,J163)</f>
        <v/>
      </c>
    </row>
    <row r="164" ht="15" customHeight="1">
      <c r="A164" s="12" t="n">
        <v>154</v>
      </c>
      <c r="B164" s="12" t="n">
        <v>359</v>
      </c>
      <c r="C164" s="12" t="n">
        <v>65</v>
      </c>
      <c r="D164" s="16" t="n">
        <v>15.31</v>
      </c>
      <c r="E164" s="9">
        <f>D164+1.5</f>
        <v/>
      </c>
      <c r="F164" s="9">
        <f>D164-1.5</f>
        <v/>
      </c>
      <c r="G164" s="25" t="n">
        <v>15.95</v>
      </c>
      <c r="H164" s="6">
        <f>IF(OR(K164&gt;E164,K164&lt;F164),"FAIL","PASS")</f>
        <v/>
      </c>
      <c r="I164" s="7">
        <f>G164-D164</f>
        <v/>
      </c>
      <c r="J164" s="8">
        <f>IF(G164&gt;300,G164-360,0)</f>
        <v/>
      </c>
      <c r="K164" s="8">
        <f>IF(J164=0,G164,J164)</f>
        <v/>
      </c>
    </row>
    <row r="165" ht="15" customHeight="1">
      <c r="A165" s="12" t="n">
        <v>155</v>
      </c>
      <c r="B165" s="12" t="n">
        <v>361</v>
      </c>
      <c r="C165" s="12" t="n">
        <v>236</v>
      </c>
      <c r="D165" s="5" t="n">
        <v>14.64</v>
      </c>
      <c r="E165" s="9">
        <f>D165+1.5</f>
        <v/>
      </c>
      <c r="F165" s="9">
        <f>D165-1.5</f>
        <v/>
      </c>
      <c r="G165" s="25" t="n">
        <v>15.32</v>
      </c>
      <c r="H165" s="6">
        <f>IF(OR(K165&gt;E165,K165&lt;F165),"FAIL","PASS")</f>
        <v/>
      </c>
      <c r="I165" s="7">
        <f>G165-D165</f>
        <v/>
      </c>
      <c r="J165" s="8">
        <f>IF(G165&gt;300,G165-360,0)</f>
        <v/>
      </c>
      <c r="K165" s="8">
        <f>IF(J165=0,G165,J165)</f>
        <v/>
      </c>
    </row>
    <row r="166" ht="15" customHeight="1">
      <c r="A166" s="12" t="n">
        <v>156</v>
      </c>
      <c r="B166" s="12" t="n">
        <v>364</v>
      </c>
      <c r="C166" s="12" t="n">
        <v>48</v>
      </c>
      <c r="D166" s="5" t="n">
        <v>13.97</v>
      </c>
      <c r="E166" s="9">
        <f>D166+1.5</f>
        <v/>
      </c>
      <c r="F166" s="9">
        <f>D166-1.5</f>
        <v/>
      </c>
      <c r="G166" s="25" t="n">
        <v>14.63</v>
      </c>
      <c r="H166" s="6">
        <f>IF(OR(K166&gt;E166,K166&lt;F166),"FAIL","PASS")</f>
        <v/>
      </c>
      <c r="I166" s="7">
        <f>G166-D166</f>
        <v/>
      </c>
      <c r="J166" s="8">
        <f>IF(G166&gt;300,G166-360,0)</f>
        <v/>
      </c>
      <c r="K166" s="8">
        <f>IF(J166=0,G166,J166)</f>
        <v/>
      </c>
    </row>
    <row r="167" ht="15" customHeight="1">
      <c r="A167" s="12" t="n">
        <v>157</v>
      </c>
      <c r="B167" s="12" t="n">
        <v>366</v>
      </c>
      <c r="C167" s="12" t="n">
        <v>220</v>
      </c>
      <c r="D167" s="5" t="n">
        <v>13.31</v>
      </c>
      <c r="E167" s="9">
        <f>D167+1.5</f>
        <v/>
      </c>
      <c r="F167" s="9">
        <f>D167-1.5</f>
        <v/>
      </c>
      <c r="G167" s="25" t="n">
        <v>13.97</v>
      </c>
      <c r="H167" s="6">
        <f>IF(OR(K167&gt;E167,K167&lt;F167),"FAIL","PASS")</f>
        <v/>
      </c>
      <c r="I167" s="7">
        <f>G167-D167</f>
        <v/>
      </c>
      <c r="J167" s="8">
        <f>IF(G167&gt;300,G167-360,0)</f>
        <v/>
      </c>
      <c r="K167" s="8">
        <f>IF(J167=0,G167,J167)</f>
        <v/>
      </c>
    </row>
    <row r="168" ht="15" customHeight="1">
      <c r="A168" s="12" t="n">
        <v>158</v>
      </c>
      <c r="B168" s="12" t="n">
        <v>369</v>
      </c>
      <c r="C168" s="12" t="n">
        <v>32</v>
      </c>
      <c r="D168" s="5" t="n">
        <v>12.6</v>
      </c>
      <c r="E168" s="9">
        <f>D168+1.5</f>
        <v/>
      </c>
      <c r="F168" s="9">
        <f>D168-1.5</f>
        <v/>
      </c>
      <c r="G168" s="25" t="n">
        <v>13.27</v>
      </c>
      <c r="H168" s="6">
        <f>IF(OR(K168&gt;E168,K168&lt;F168),"FAIL","PASS")</f>
        <v/>
      </c>
      <c r="I168" s="7">
        <f>G168-D168</f>
        <v/>
      </c>
      <c r="J168" s="8">
        <f>IF(G168&gt;300,G168-360,0)</f>
        <v/>
      </c>
      <c r="K168" s="8">
        <f>IF(J168=0,G168,J168)</f>
        <v/>
      </c>
    </row>
    <row r="169" ht="14.25" customHeight="1">
      <c r="A169" s="11" t="inlineStr">
        <is>
          <t xml:space="preserve">159
</t>
        </is>
      </c>
      <c r="B169" s="11" t="n">
        <v>371</v>
      </c>
      <c r="C169" s="12" t="n">
        <v>203</v>
      </c>
      <c r="D169" s="5" t="n">
        <v>11.56</v>
      </c>
      <c r="E169" s="9">
        <f>D169+1.5</f>
        <v/>
      </c>
      <c r="F169" s="9">
        <f>D169-1.5</f>
        <v/>
      </c>
      <c r="G169" s="25" t="n">
        <v>12.62</v>
      </c>
      <c r="H169" s="6">
        <f>IF(OR(K169&gt;E169,K169&lt;F169),"FAIL","PASS")</f>
        <v/>
      </c>
      <c r="I169" s="7">
        <f>G169-D169</f>
        <v/>
      </c>
      <c r="J169" s="8">
        <f>IF(G169&gt;300,G169-360,0)</f>
        <v/>
      </c>
      <c r="K169" s="8">
        <f>IF(J169=0,G169,J169)</f>
        <v/>
      </c>
    </row>
    <row r="170" ht="15" customHeight="1">
      <c r="A170" s="12" t="n">
        <v>160</v>
      </c>
      <c r="B170" s="11" t="n">
        <v>374</v>
      </c>
      <c r="C170" s="12" t="n">
        <v>15</v>
      </c>
      <c r="D170" s="5" t="n">
        <v>10.75</v>
      </c>
      <c r="E170" s="9">
        <f>D170+1.5</f>
        <v/>
      </c>
      <c r="F170" s="9">
        <f>D170-1.5</f>
        <v/>
      </c>
      <c r="G170" s="25" t="n">
        <v>11.96</v>
      </c>
      <c r="H170" s="6">
        <f>IF(OR(K170&gt;E170,K170&lt;F170),"FAIL","PASS")</f>
        <v/>
      </c>
      <c r="I170" s="7">
        <f>G170-D170</f>
        <v/>
      </c>
      <c r="J170" s="8">
        <f>IF(G170&gt;300,G170-360,0)</f>
        <v/>
      </c>
      <c r="K170" s="8">
        <f>IF(J170=0,G170,J170)</f>
        <v/>
      </c>
    </row>
    <row r="171" ht="15" customHeight="1">
      <c r="A171" s="12" t="n">
        <v>161</v>
      </c>
      <c r="B171" s="12" t="n">
        <v>376</v>
      </c>
      <c r="C171" s="12" t="n">
        <v>187</v>
      </c>
      <c r="D171" s="5" t="n">
        <v>10.07</v>
      </c>
      <c r="E171" s="9">
        <f>D171+1.5</f>
        <v/>
      </c>
      <c r="F171" s="9">
        <f>D171-1.5</f>
        <v/>
      </c>
      <c r="G171" s="25" t="n">
        <v>11.34</v>
      </c>
      <c r="H171" s="6">
        <f>IF(OR(K171&gt;E171,K171&lt;F171),"FAIL","PASS")</f>
        <v/>
      </c>
      <c r="I171" s="7">
        <f>G171-D171</f>
        <v/>
      </c>
      <c r="J171" s="8">
        <f>IF(G171&gt;300,G171-360,0)</f>
        <v/>
      </c>
      <c r="K171" s="8">
        <f>IF(J171=0,G171,J171)</f>
        <v/>
      </c>
    </row>
    <row r="172" ht="12.75" customHeight="1">
      <c r="A172" s="12" t="n">
        <v>162</v>
      </c>
      <c r="B172" s="11" t="inlineStr">
        <is>
          <t xml:space="preserve"> 378
</t>
        </is>
      </c>
      <c r="C172" s="12" t="n">
        <v>359</v>
      </c>
      <c r="D172" s="5" t="n">
        <v>9.43</v>
      </c>
      <c r="E172" s="9">
        <f>D172+1.5</f>
        <v/>
      </c>
      <c r="F172" s="9">
        <f>D172-1.5</f>
        <v/>
      </c>
      <c r="G172" s="25" t="n">
        <v>10.69</v>
      </c>
      <c r="H172" s="6">
        <f>IF(OR(K172&gt;E172,K172&lt;F172),"FAIL","PASS")</f>
        <v/>
      </c>
      <c r="I172" s="7">
        <f>G172-D172</f>
        <v/>
      </c>
      <c r="J172" s="8">
        <f>IF(G172&gt;300,G172-360,0)</f>
        <v/>
      </c>
      <c r="K172" s="8">
        <f>IF(J172=0,G172,J172)</f>
        <v/>
      </c>
    </row>
    <row r="173" ht="15" customHeight="1">
      <c r="A173" s="12" t="n">
        <v>163</v>
      </c>
      <c r="B173" s="12" t="n">
        <v>381</v>
      </c>
      <c r="C173" s="12" t="n">
        <v>170</v>
      </c>
      <c r="D173" s="5" t="n">
        <v>8.779999999999999</v>
      </c>
      <c r="E173" s="9">
        <f>D173+1.5</f>
        <v/>
      </c>
      <c r="F173" s="9">
        <f>D173-1.5</f>
        <v/>
      </c>
      <c r="G173" s="25" t="n">
        <v>10.08</v>
      </c>
      <c r="H173" s="6">
        <f>IF(OR(K173&gt;E173,K173&lt;F173),"FAIL","PASS")</f>
        <v/>
      </c>
      <c r="I173" s="7">
        <f>G173-D173</f>
        <v/>
      </c>
      <c r="J173" s="8">
        <f>IF(G173&gt;300,G173-360,0)</f>
        <v/>
      </c>
      <c r="K173" s="8">
        <f>IF(J173=0,G173,J173)</f>
        <v/>
      </c>
    </row>
    <row r="174" ht="15" customHeight="1">
      <c r="A174" s="12" t="n">
        <v>164</v>
      </c>
      <c r="B174" s="12" t="n">
        <v>383</v>
      </c>
      <c r="C174" s="12" t="n">
        <v>342</v>
      </c>
      <c r="D174" s="5" t="n">
        <v>8.17</v>
      </c>
      <c r="E174" s="9">
        <f>D174+1.5</f>
        <v/>
      </c>
      <c r="F174" s="9">
        <f>D174-1.5</f>
        <v/>
      </c>
      <c r="G174" s="25" t="n">
        <v>9.42</v>
      </c>
      <c r="H174" s="6">
        <f>IF(OR(K174&gt;E174,K174&lt;F174),"FAIL","PASS")</f>
        <v/>
      </c>
      <c r="I174" s="7">
        <f>G174-D174</f>
        <v/>
      </c>
      <c r="J174" s="8">
        <f>IF(G174&gt;300,G174-360,0)</f>
        <v/>
      </c>
      <c r="K174" s="8">
        <f>IF(J174=0,G174,J174)</f>
        <v/>
      </c>
    </row>
    <row r="175" ht="15" customHeight="1">
      <c r="A175" s="12" t="n">
        <v>165</v>
      </c>
      <c r="B175" s="12" t="n">
        <v>386</v>
      </c>
      <c r="C175" s="12" t="n">
        <v>154</v>
      </c>
      <c r="D175" s="5" t="n">
        <v>7.52</v>
      </c>
      <c r="E175" s="9">
        <f>D175+1.5</f>
        <v/>
      </c>
      <c r="F175" s="9">
        <f>D175-1.5</f>
        <v/>
      </c>
      <c r="G175" s="25" t="n">
        <v>8.81</v>
      </c>
      <c r="H175" s="6">
        <f>IF(OR(K175&gt;E175,K175&lt;F175),"FAIL","PASS")</f>
        <v/>
      </c>
      <c r="I175" s="7">
        <f>G175-D175</f>
        <v/>
      </c>
      <c r="J175" s="8">
        <f>IF(G175&gt;300,G175-360,0)</f>
        <v/>
      </c>
      <c r="K175" s="8">
        <f>IF(J175=0,G175,J175)</f>
        <v/>
      </c>
    </row>
    <row r="176" ht="15" customHeight="1">
      <c r="A176" s="12" t="n">
        <v>166</v>
      </c>
      <c r="B176" s="12" t="n">
        <v>388</v>
      </c>
      <c r="C176" s="12" t="n">
        <v>326</v>
      </c>
      <c r="D176" s="5" t="n">
        <v>6.88</v>
      </c>
      <c r="E176" s="9">
        <f>D176+1.5</f>
        <v/>
      </c>
      <c r="F176" s="9">
        <f>D176-1.5</f>
        <v/>
      </c>
      <c r="G176" s="25" t="n">
        <v>8.15</v>
      </c>
      <c r="H176" s="6">
        <f>IF(OR(K176&gt;E176,K176&lt;F176),"FAIL","PASS")</f>
        <v/>
      </c>
      <c r="I176" s="7">
        <f>G176-D176</f>
        <v/>
      </c>
      <c r="J176" s="8">
        <f>IF(G176&gt;300,G176-360,0)</f>
        <v/>
      </c>
      <c r="K176" s="8">
        <f>IF(J176=0,G176,J176)</f>
        <v/>
      </c>
    </row>
    <row r="177" ht="15" customHeight="1">
      <c r="A177" s="12" t="n">
        <v>167</v>
      </c>
      <c r="B177" s="12" t="n">
        <v>391</v>
      </c>
      <c r="C177" s="12" t="n">
        <v>137</v>
      </c>
      <c r="D177" s="5" t="n">
        <v>6.23</v>
      </c>
      <c r="E177" s="9">
        <f>D177+1.5</f>
        <v/>
      </c>
      <c r="F177" s="9">
        <f>D177-1.5</f>
        <v/>
      </c>
      <c r="G177" s="25" t="n">
        <v>7.52</v>
      </c>
      <c r="H177" s="6">
        <f>IF(OR(K177&gt;E177,K177&lt;F177),"FAIL","PASS")</f>
        <v/>
      </c>
      <c r="I177" s="7">
        <f>G177-D177</f>
        <v/>
      </c>
      <c r="J177" s="8">
        <f>IF(G177&gt;300,G177-360,0)</f>
        <v/>
      </c>
      <c r="K177" s="8">
        <f>IF(J177=0,G177,J177)</f>
        <v/>
      </c>
    </row>
    <row r="178" ht="15" customHeight="1">
      <c r="A178" s="12" t="n">
        <v>168</v>
      </c>
      <c r="B178" s="12" t="n">
        <v>393</v>
      </c>
      <c r="C178" s="12" t="n">
        <v>309</v>
      </c>
      <c r="D178" s="5" t="n">
        <v>5.52</v>
      </c>
      <c r="E178" s="9">
        <f>D178+1.5</f>
        <v/>
      </c>
      <c r="F178" s="9">
        <f>D178-1.5</f>
        <v/>
      </c>
      <c r="G178" s="25" t="n">
        <v>6.87</v>
      </c>
      <c r="H178" s="6">
        <f>IF(OR(K178&gt;E178,K178&lt;F178),"FAIL","PASS")</f>
        <v/>
      </c>
      <c r="I178" s="7">
        <f>G178-D178</f>
        <v/>
      </c>
      <c r="J178" s="8">
        <f>IF(G178&gt;300,G178-360,0)</f>
        <v/>
      </c>
      <c r="K178" s="8">
        <f>IF(J178=0,G178,J178)</f>
        <v/>
      </c>
    </row>
    <row r="179" ht="15" customHeight="1">
      <c r="A179" s="12" t="n">
        <v>169</v>
      </c>
      <c r="B179" s="12" t="n">
        <v>396</v>
      </c>
      <c r="C179" s="12" t="n">
        <v>121</v>
      </c>
      <c r="D179" s="5" t="n">
        <v>4.84</v>
      </c>
      <c r="E179" s="9">
        <f>D179+1.5</f>
        <v/>
      </c>
      <c r="F179" s="9">
        <f>D179-1.5</f>
        <v/>
      </c>
      <c r="G179" s="25" t="n">
        <v>6.19</v>
      </c>
      <c r="H179" s="6">
        <f>IF(OR(K179&gt;E179,K179&lt;F179),"FAIL","PASS")</f>
        <v/>
      </c>
      <c r="I179" s="7">
        <f>G179-D179</f>
        <v/>
      </c>
      <c r="J179" s="8">
        <f>IF(G179&gt;300,G179-360,0)</f>
        <v/>
      </c>
      <c r="K179" s="8">
        <f>IF(J179=0,G179,J179)</f>
        <v/>
      </c>
    </row>
    <row r="180" ht="15" customHeight="1">
      <c r="A180" s="12" t="n">
        <v>170</v>
      </c>
      <c r="B180" s="12" t="n">
        <v>398</v>
      </c>
      <c r="C180" s="12" t="n">
        <v>293</v>
      </c>
      <c r="D180" s="5" t="n">
        <v>4.22</v>
      </c>
      <c r="E180" s="9">
        <f>D180+1.5</f>
        <v/>
      </c>
      <c r="F180" s="9">
        <f>D180-1.5</f>
        <v/>
      </c>
      <c r="G180" s="25" t="n">
        <v>5.61</v>
      </c>
      <c r="H180" s="6">
        <f>IF(OR(K180&gt;E180,K180&lt;F180),"FAIL","PASS")</f>
        <v/>
      </c>
      <c r="I180" s="7">
        <f>IF(G180&gt;300,G180-360-D180,G180-D180)</f>
        <v/>
      </c>
      <c r="J180" s="8">
        <f>IF(G180&gt;300,G180-360,0)</f>
        <v/>
      </c>
      <c r="K180" s="8">
        <f>IF(J180=0,G180,J180)</f>
        <v/>
      </c>
    </row>
    <row r="181" ht="15" customHeight="1">
      <c r="A181" s="12" t="n">
        <v>171</v>
      </c>
      <c r="B181" s="12" t="n">
        <v>401</v>
      </c>
      <c r="C181" s="12" t="n">
        <v>105</v>
      </c>
      <c r="D181" s="5" t="n">
        <v>3.74</v>
      </c>
      <c r="E181" s="9">
        <f>D181+1.5</f>
        <v/>
      </c>
      <c r="F181" s="9">
        <f>D181-1.5</f>
        <v/>
      </c>
      <c r="G181" s="25" t="n">
        <v>5.15</v>
      </c>
      <c r="H181" s="6">
        <f>IF(OR(K181&gt;E181,K181&lt;F181),"FAIL","PASS")</f>
        <v/>
      </c>
      <c r="I181" s="7">
        <f>IF(G181&gt;300,G181-360-D181,G181-D181)</f>
        <v/>
      </c>
      <c r="J181" s="8">
        <f>IF(G181&gt;300,G181-360,0)</f>
        <v/>
      </c>
      <c r="K181" s="8">
        <f>IF(J181=0,G181,J181)</f>
        <v/>
      </c>
    </row>
    <row r="182" ht="15" customHeight="1">
      <c r="A182" s="12" t="n">
        <v>172</v>
      </c>
      <c r="B182" s="12" t="n">
        <v>403</v>
      </c>
      <c r="C182" s="12" t="n">
        <v>276</v>
      </c>
      <c r="D182" s="5" t="n">
        <v>3.17</v>
      </c>
      <c r="E182" s="9">
        <f>D182+1.5</f>
        <v/>
      </c>
      <c r="F182" s="9">
        <f>D182-1.5</f>
        <v/>
      </c>
      <c r="G182" s="25" t="n">
        <v>4.61</v>
      </c>
      <c r="H182" s="6">
        <f>IF(OR(K182&gt;E182,K182&lt;F182),"FAIL","PASS")</f>
        <v/>
      </c>
      <c r="I182" s="7">
        <f>IF(G182&gt;300,G182-360-D182,G182-D182)</f>
        <v/>
      </c>
      <c r="J182" s="8">
        <f>IF(G182&gt;300,G182-360,0)</f>
        <v/>
      </c>
      <c r="K182" s="8">
        <f>IF(J182=0,G182,J182)</f>
        <v/>
      </c>
    </row>
    <row r="183" ht="15" customHeight="1">
      <c r="A183" s="12" t="n">
        <v>173</v>
      </c>
      <c r="B183" s="12" t="n">
        <v>406</v>
      </c>
      <c r="C183" s="12" t="n">
        <v>88</v>
      </c>
      <c r="D183" s="5" t="n">
        <v>2.61</v>
      </c>
      <c r="E183" s="9">
        <f>D183+1.5</f>
        <v/>
      </c>
      <c r="F183" s="9">
        <f>D183-1.5</f>
        <v/>
      </c>
      <c r="G183" s="25" t="n">
        <v>4.08</v>
      </c>
      <c r="H183" s="6">
        <f>IF(OR(K183&gt;E183,K183&lt;F183),"FAIL","PASS")</f>
        <v/>
      </c>
      <c r="I183" s="7">
        <f>IF(G183&gt;300,G183-360-D183,G183-D183)</f>
        <v/>
      </c>
      <c r="J183" s="8">
        <f>IF(G183&gt;300,G183-360,0)</f>
        <v/>
      </c>
      <c r="K183" s="8">
        <f>IF(J183=0,G183,J183)</f>
        <v/>
      </c>
    </row>
    <row r="184" ht="15" customHeight="1">
      <c r="A184" s="12" t="n">
        <v>174</v>
      </c>
      <c r="B184" s="12" t="n">
        <v>408</v>
      </c>
      <c r="C184" s="12" t="n">
        <v>260</v>
      </c>
      <c r="D184" s="5" t="n">
        <v>2.06</v>
      </c>
      <c r="E184" s="9">
        <f>D184+1.5</f>
        <v/>
      </c>
      <c r="F184" s="9">
        <f>D184-1.5</f>
        <v/>
      </c>
      <c r="G184" s="25" t="n">
        <v>3.54</v>
      </c>
      <c r="H184" s="6">
        <f>IF(OR(K184&gt;E184,K184&lt;F184),"FAIL","PASS")</f>
        <v/>
      </c>
      <c r="I184" s="7">
        <f>IF(G184&gt;300,G184-360-D184,G184-D184)</f>
        <v/>
      </c>
      <c r="J184" s="8">
        <f>IF(G184&gt;300,G184-360,0)</f>
        <v/>
      </c>
      <c r="K184" s="8">
        <f>IF(J184=0,G184,J184)</f>
        <v/>
      </c>
    </row>
    <row r="185" ht="15" customHeight="1">
      <c r="A185" s="12" t="n">
        <v>175</v>
      </c>
      <c r="B185" s="12" t="n">
        <v>411</v>
      </c>
      <c r="C185" s="12" t="n">
        <v>72</v>
      </c>
      <c r="D185" s="5" t="n">
        <v>1.59</v>
      </c>
      <c r="E185" s="9">
        <f>D185+1.5</f>
        <v/>
      </c>
      <c r="F185" s="9">
        <f>D185-1.5</f>
        <v/>
      </c>
      <c r="G185" s="25" t="n">
        <v>2.98</v>
      </c>
      <c r="H185" s="6">
        <f>IF(OR(K185&gt;E185,K185&lt;F185),"FAIL","PASS")</f>
        <v/>
      </c>
      <c r="I185" s="7">
        <f>IF(G185&gt;300,G185-360-D185,G185-D185)</f>
        <v/>
      </c>
      <c r="J185" s="8">
        <f>IF(G185&gt;300,G185-360,0)</f>
        <v/>
      </c>
      <c r="K185" s="8">
        <f>IF(J185=0,G185,J185)</f>
        <v/>
      </c>
    </row>
    <row r="186" ht="15" customHeight="1">
      <c r="A186" s="12" t="n">
        <v>176</v>
      </c>
      <c r="B186" s="12" t="n">
        <v>413</v>
      </c>
      <c r="C186" s="12" t="n">
        <v>243</v>
      </c>
      <c r="D186" s="5" t="n">
        <v>1.34</v>
      </c>
      <c r="E186" s="9">
        <f>D186+1.5</f>
        <v/>
      </c>
      <c r="F186" s="9">
        <f>D186-1.5</f>
        <v/>
      </c>
      <c r="G186" s="25" t="n">
        <v>2.86</v>
      </c>
      <c r="H186" s="6">
        <f>IF(OR(K186&gt;E186,K186&lt;F186),"FAIL","PASS")</f>
        <v/>
      </c>
      <c r="I186" s="7">
        <f>IF(G186&gt;300,G186-360-D186,G186-D186)</f>
        <v/>
      </c>
      <c r="J186" s="8">
        <f>IF(G186&gt;300,G186-360,0)</f>
        <v/>
      </c>
      <c r="K186" s="8">
        <f>IF(J186=0,G186,J186)</f>
        <v/>
      </c>
    </row>
    <row r="187" ht="15" customHeight="1">
      <c r="A187" s="12" t="n">
        <v>177</v>
      </c>
      <c r="B187" s="12" t="n">
        <v>416</v>
      </c>
      <c r="C187" s="12" t="n">
        <v>55</v>
      </c>
      <c r="D187" s="5" t="n">
        <v>0.46</v>
      </c>
      <c r="E187" s="9">
        <f>D187+1.5</f>
        <v/>
      </c>
      <c r="F187" s="9">
        <f>D187-1.5</f>
        <v/>
      </c>
      <c r="G187" s="25" t="n">
        <v>2.13</v>
      </c>
      <c r="H187" s="6">
        <f>IF(OR(K187&gt;E187,K187&lt;F187),"FAIL","PASS")</f>
        <v/>
      </c>
      <c r="I187" s="7">
        <f>IF(G187&gt;300,G187-360-D187,G187-D187)</f>
        <v/>
      </c>
      <c r="J187" s="8">
        <f>IF(G187&gt;300,G187-360,0)</f>
        <v/>
      </c>
      <c r="K187" s="8">
        <f>IF(J187=0,G187,J187)</f>
        <v/>
      </c>
    </row>
    <row r="188" ht="15" customHeight="1">
      <c r="A188" s="12" t="n">
        <v>178</v>
      </c>
      <c r="B188" s="12" t="n">
        <v>416</v>
      </c>
      <c r="C188" s="12" t="n">
        <v>216</v>
      </c>
      <c r="D188" s="5" t="n">
        <v>0</v>
      </c>
      <c r="E188" s="9">
        <f>D188+1.5</f>
        <v/>
      </c>
      <c r="F188" s="9">
        <f>D188-1.5</f>
        <v/>
      </c>
      <c r="G188" s="25" t="n">
        <v>1.06</v>
      </c>
      <c r="H188" s="6">
        <f>IF(OR(K188&gt;E188,K188&lt;F188),"FAIL","PASS")</f>
        <v/>
      </c>
      <c r="I188" s="7">
        <f>IF(G188&gt;300,G188-360-D188,G188-D188)</f>
        <v/>
      </c>
      <c r="J188" s="8">
        <f>IF(G188&gt;300,G188-360,0)</f>
        <v/>
      </c>
      <c r="K188" s="8">
        <f>IF(J188=0,G188,J188)</f>
        <v/>
      </c>
    </row>
    <row r="189" ht="15" customHeight="1">
      <c r="A189" s="12" t="n">
        <v>179</v>
      </c>
      <c r="B189" s="12" t="n">
        <v>418</v>
      </c>
      <c r="C189" s="12" t="n">
        <v>227</v>
      </c>
      <c r="D189" s="5" t="n">
        <v>-0.87</v>
      </c>
      <c r="E189" s="9">
        <f>D189+1.5</f>
        <v/>
      </c>
      <c r="F189" s="9">
        <f>D189-1.5</f>
        <v/>
      </c>
      <c r="G189" s="25" t="n">
        <v>1.15</v>
      </c>
      <c r="H189" s="6">
        <f>IF(OR(K189&gt;E189,K189&lt;F189),"FAIL","PASS")</f>
        <v/>
      </c>
      <c r="I189" s="7">
        <f>IF(G189&gt;300,G189-360-D189,G189-D189)</f>
        <v/>
      </c>
      <c r="J189" s="8">
        <f>IF(G189&gt;300,G189-360,0)</f>
        <v/>
      </c>
      <c r="K189" s="8">
        <f>IF(J189=0,G189,J189)</f>
        <v/>
      </c>
    </row>
    <row r="190" ht="15" customHeight="1">
      <c r="A190" s="12" t="n">
        <v>180</v>
      </c>
      <c r="B190" s="12" t="n">
        <v>421</v>
      </c>
      <c r="C190" s="12" t="n">
        <v>39</v>
      </c>
      <c r="D190" s="5" t="n">
        <v>-2.73</v>
      </c>
      <c r="E190" s="9">
        <f>D190+1.5</f>
        <v/>
      </c>
      <c r="F190" s="9">
        <f>D190-1.5</f>
        <v/>
      </c>
      <c r="G190" s="25" t="n">
        <v>359.49</v>
      </c>
      <c r="H190" s="6">
        <f>IF(OR(K190&gt;E190,K190&lt;F190),"FAIL","PASS")</f>
        <v/>
      </c>
      <c r="I190" s="7">
        <f>IF(G190&gt;300,G190-360-D190,G190-D190)</f>
        <v/>
      </c>
      <c r="J190" s="8">
        <f>IF(G190&gt;300,G190-360,0)</f>
        <v/>
      </c>
      <c r="K190" s="8">
        <f>IF(J190=0,G190,J190)</f>
        <v/>
      </c>
    </row>
    <row r="191" ht="15" customHeight="1">
      <c r="A191" s="12" t="n">
        <v>181</v>
      </c>
      <c r="B191" s="12" t="n">
        <v>423</v>
      </c>
      <c r="C191" s="12" t="n">
        <v>210</v>
      </c>
      <c r="D191" s="5" t="n">
        <v>-4.96</v>
      </c>
      <c r="E191" s="9">
        <f>D191+1.5</f>
        <v/>
      </c>
      <c r="F191" s="9">
        <f>D191-1.5</f>
        <v/>
      </c>
      <c r="G191" s="25" t="n">
        <v>356.61</v>
      </c>
      <c r="H191" s="6">
        <f>IF(OR(K191&gt;E191,K191&lt;F191),"FAIL","PASS")</f>
        <v/>
      </c>
      <c r="I191" s="7">
        <f>IF(G191&gt;300,G191-360-D191,G191-D191)</f>
        <v/>
      </c>
      <c r="J191" s="8">
        <f>IF(G191&gt;300,G191-360,0)</f>
        <v/>
      </c>
      <c r="K191" s="8">
        <f>IF(J191=0,G191,J191)</f>
        <v/>
      </c>
    </row>
    <row r="192" ht="15" customHeight="1">
      <c r="A192" s="12" t="n">
        <v>182</v>
      </c>
      <c r="B192" s="12" t="n">
        <v>425</v>
      </c>
      <c r="C192" s="12" t="n">
        <v>282</v>
      </c>
      <c r="D192" s="5" t="n">
        <v>-6</v>
      </c>
      <c r="E192" s="9">
        <f>D192+1.5</f>
        <v/>
      </c>
      <c r="F192" s="9">
        <f>D192-1.5</f>
        <v/>
      </c>
      <c r="G192" s="25" t="n">
        <v>354.88</v>
      </c>
      <c r="H192" s="6">
        <f>IF(OR(K192&gt;E192,K192&lt;F192),"FAIL","PASS")</f>
        <v/>
      </c>
      <c r="I192" s="7">
        <f>IF(G192&gt;300,G192-360-D192,G192-D192)</f>
        <v/>
      </c>
      <c r="J192" s="8">
        <f>IF(G192&gt;300,G192-360,0)</f>
        <v/>
      </c>
      <c r="K192" s="8">
        <f>IF(J192=0,G192,J192)</f>
        <v/>
      </c>
    </row>
    <row r="193" ht="15" customHeight="1">
      <c r="A193" s="12" t="n">
        <v>182</v>
      </c>
      <c r="B193" s="12" t="n">
        <v>425</v>
      </c>
      <c r="C193" s="12" t="n">
        <v>282</v>
      </c>
      <c r="D193" s="5" t="n">
        <v>-6</v>
      </c>
      <c r="E193" s="9">
        <f>D193+1.5</f>
        <v/>
      </c>
      <c r="F193" s="9">
        <f>D193-1.5</f>
        <v/>
      </c>
      <c r="G193" s="25" t="n">
        <v>354.88</v>
      </c>
      <c r="H193" s="6">
        <f>IF(OR(K193&gt;E193,K193&lt;F193),"FAIL","PASS")</f>
        <v/>
      </c>
      <c r="I193" s="7">
        <f>IF(G193&gt;300,G193-360-D193,G193-D193)</f>
        <v/>
      </c>
      <c r="J193" s="8">
        <f>IF(G193&gt;300,G193-360,0)</f>
        <v/>
      </c>
      <c r="K193" s="8">
        <f>IF(J193=0,G193,J193)</f>
        <v/>
      </c>
    </row>
    <row r="194" ht="15" customHeight="1">
      <c r="A194" s="12" t="n">
        <v>181</v>
      </c>
      <c r="B194" s="12" t="n">
        <v>423</v>
      </c>
      <c r="C194" s="12" t="n">
        <v>210</v>
      </c>
      <c r="D194" s="5" t="n">
        <v>-4.96</v>
      </c>
      <c r="E194" s="9">
        <f>D194+1.5</f>
        <v/>
      </c>
      <c r="F194" s="9">
        <f>D194-1.5</f>
        <v/>
      </c>
      <c r="G194" s="25" t="n">
        <v>356.34</v>
      </c>
      <c r="H194" s="6">
        <f>IF(OR(K194&gt;E194,K194&lt;F194),"FAIL","PASS")</f>
        <v/>
      </c>
      <c r="I194" s="7">
        <f>IF(G194&gt;300,G194-360-D194,G194-D194)</f>
        <v/>
      </c>
      <c r="J194" s="8">
        <f>IF(G194&gt;300,G194-360,0)</f>
        <v/>
      </c>
      <c r="K194" s="8">
        <f>IF(J194=0,G194,J194)</f>
        <v/>
      </c>
    </row>
    <row r="195" ht="15" customHeight="1">
      <c r="A195" s="12" t="n">
        <v>180</v>
      </c>
      <c r="B195" s="12" t="n">
        <v>421</v>
      </c>
      <c r="C195" s="12" t="n">
        <v>39</v>
      </c>
      <c r="D195" s="5" t="n">
        <v>-2.73</v>
      </c>
      <c r="E195" s="9">
        <f>D195+1.5</f>
        <v/>
      </c>
      <c r="F195" s="9">
        <f>D195-1.5</f>
        <v/>
      </c>
      <c r="G195" s="25" t="n">
        <v>359.23</v>
      </c>
      <c r="H195" s="6">
        <f>IF(OR(K195&gt;E195,K195&lt;F195),"FAIL","PASS")</f>
        <v/>
      </c>
      <c r="I195" s="7">
        <f>IF(G195&gt;300,G195-360-D195,G195-D195)</f>
        <v/>
      </c>
      <c r="J195" s="8">
        <f>IF(G195&gt;300,G195-360,0)</f>
        <v/>
      </c>
      <c r="K195" s="8">
        <f>IF(J195=0,G195,J195)</f>
        <v/>
      </c>
    </row>
    <row r="196" ht="15" customHeight="1">
      <c r="A196" s="12" t="n">
        <v>179</v>
      </c>
      <c r="B196" s="12" t="n">
        <v>418</v>
      </c>
      <c r="C196" s="12" t="n">
        <v>227</v>
      </c>
      <c r="D196" s="5" t="n">
        <v>-0.87</v>
      </c>
      <c r="E196" s="9">
        <f>D196+1.5</f>
        <v/>
      </c>
      <c r="F196" s="9">
        <f>D196-1.5</f>
        <v/>
      </c>
      <c r="G196" s="25" t="n">
        <v>0.95</v>
      </c>
      <c r="H196" s="6">
        <f>IF(OR(K196&gt;E196,K196&lt;F196),"FAIL","PASS")</f>
        <v/>
      </c>
      <c r="I196" s="7">
        <f>IF(G196&gt;300,G196-360-D196,G196-D196)</f>
        <v/>
      </c>
      <c r="J196" s="8">
        <f>IF(G196&gt;300,G196-360,0)</f>
        <v/>
      </c>
      <c r="K196" s="8">
        <f>IF(J196=0,G196,J196)</f>
        <v/>
      </c>
    </row>
    <row r="197" ht="15" customHeight="1">
      <c r="A197" s="12" t="n">
        <v>178</v>
      </c>
      <c r="B197" s="12" t="n">
        <v>416</v>
      </c>
      <c r="C197" s="12" t="n">
        <v>216</v>
      </c>
      <c r="D197" s="5" t="n">
        <v>0</v>
      </c>
      <c r="E197" s="9">
        <f>D197+1.5</f>
        <v/>
      </c>
      <c r="F197" s="9">
        <f>D197-1.5</f>
        <v/>
      </c>
      <c r="G197" s="25" t="n">
        <v>0.99</v>
      </c>
      <c r="H197" s="6">
        <f>IF(OR(K197&gt;E197,K197&lt;F197),"FAIL","PASS")</f>
        <v/>
      </c>
      <c r="I197" s="7">
        <f>IF(G197&gt;300,G197-360-D197,G197-D197)</f>
        <v/>
      </c>
      <c r="J197" s="8">
        <f>IF(G197&gt;300,G197-360,0)</f>
        <v/>
      </c>
      <c r="K197" s="8">
        <f>IF(J197=0,G197,J197)</f>
        <v/>
      </c>
    </row>
    <row r="198" ht="15" customHeight="1">
      <c r="A198" s="12" t="n">
        <v>177</v>
      </c>
      <c r="B198" s="12" t="n">
        <v>416</v>
      </c>
      <c r="C198" s="12" t="n">
        <v>55</v>
      </c>
      <c r="D198" s="5" t="n">
        <v>0.46</v>
      </c>
      <c r="E198" s="9">
        <f>D198+1.5</f>
        <v/>
      </c>
      <c r="F198" s="9">
        <f>D198-1.5</f>
        <v/>
      </c>
      <c r="G198" s="25" t="n">
        <v>2.24</v>
      </c>
      <c r="H198" s="6">
        <f>IF(OR(K198&gt;E198,K198&lt;F198),"FAIL","PASS")</f>
        <v/>
      </c>
      <c r="I198" s="7">
        <f>IF(G198&gt;300,G198-360-D198,G198-D198)</f>
        <v/>
      </c>
      <c r="J198" s="8">
        <f>IF(G198&gt;300,G198-360,0)</f>
        <v/>
      </c>
      <c r="K198" s="8">
        <f>IF(J198=0,G198,J198)</f>
        <v/>
      </c>
    </row>
    <row r="199" ht="15" customHeight="1">
      <c r="A199" s="12" t="n">
        <v>176</v>
      </c>
      <c r="B199" s="12" t="n">
        <v>413</v>
      </c>
      <c r="C199" s="12" t="n">
        <v>243</v>
      </c>
      <c r="D199" s="5" t="n">
        <v>1.34</v>
      </c>
      <c r="E199" s="9">
        <f>D199+1.5</f>
        <v/>
      </c>
      <c r="F199" s="9">
        <f>D199-1.5</f>
        <v/>
      </c>
      <c r="G199" s="25" t="n">
        <v>3.02</v>
      </c>
      <c r="H199" s="6">
        <f>IF(OR(K199&gt;E199,K199&lt;F199),"FAIL","PASS")</f>
        <v/>
      </c>
      <c r="I199" s="7">
        <f>IF(G199&gt;300,G199-360-D199,G199-D199)</f>
        <v/>
      </c>
      <c r="J199" s="8">
        <f>IF(G199&gt;300,G199-360,0)</f>
        <v/>
      </c>
      <c r="K199" s="8">
        <f>IF(J199=0,G199,J199)</f>
        <v/>
      </c>
    </row>
    <row r="200" ht="15" customHeight="1">
      <c r="A200" s="12" t="n">
        <v>175</v>
      </c>
      <c r="B200" s="12" t="n">
        <v>411</v>
      </c>
      <c r="C200" s="12" t="n">
        <v>72</v>
      </c>
      <c r="D200" s="5" t="n">
        <v>1.59</v>
      </c>
      <c r="E200" s="9">
        <f>D200+1.5</f>
        <v/>
      </c>
      <c r="F200" s="9">
        <f>D200-1.5</f>
        <v/>
      </c>
      <c r="G200" s="25" t="n">
        <v>3.13</v>
      </c>
      <c r="H200" s="6">
        <f>IF(OR(K200&gt;E200,K200&lt;F200),"FAIL","PASS")</f>
        <v/>
      </c>
      <c r="I200" s="7">
        <f>IF(G200&gt;300,G200-360-D200,G200-D200)</f>
        <v/>
      </c>
      <c r="J200" s="8">
        <f>IF(G200&gt;300,G200-360,0)</f>
        <v/>
      </c>
      <c r="K200" s="8">
        <f>IF(J200=0,G200,J200)</f>
        <v/>
      </c>
    </row>
    <row r="201" ht="15" customHeight="1">
      <c r="A201" s="12" t="n">
        <v>174</v>
      </c>
      <c r="B201" s="12" t="n">
        <v>408</v>
      </c>
      <c r="C201" s="12" t="n">
        <v>260</v>
      </c>
      <c r="D201" s="5" t="n">
        <v>2.06</v>
      </c>
      <c r="E201" s="9">
        <f>D201+1.5</f>
        <v/>
      </c>
      <c r="F201" s="9">
        <f>D201-1.5</f>
        <v/>
      </c>
      <c r="G201" s="25" t="n">
        <v>3.65</v>
      </c>
      <c r="H201" s="6">
        <f>IF(OR(K201&gt;E201,K201&lt;F201),"FAIL","PASS")</f>
        <v/>
      </c>
      <c r="I201" s="7">
        <f>IF(G201&gt;300,G201-360-D201,G201-D201)</f>
        <v/>
      </c>
      <c r="J201" s="8">
        <f>IF(G201&gt;300,G201-360,0)</f>
        <v/>
      </c>
      <c r="K201" s="8">
        <f>IF(J201=0,G201,J201)</f>
        <v/>
      </c>
    </row>
    <row r="202" ht="15" customHeight="1">
      <c r="A202" s="12" t="n">
        <v>173</v>
      </c>
      <c r="B202" s="12" t="n">
        <v>406</v>
      </c>
      <c r="C202" s="12" t="n">
        <v>88</v>
      </c>
      <c r="D202" s="5" t="n">
        <v>2.61</v>
      </c>
      <c r="E202" s="9">
        <f>D202+1.5</f>
        <v/>
      </c>
      <c r="F202" s="9">
        <f>D202-1.5</f>
        <v/>
      </c>
      <c r="G202" s="25" t="n">
        <v>4.17</v>
      </c>
      <c r="H202" s="6">
        <f>IF(OR(K202&gt;E202,K202&lt;F202),"FAIL","PASS")</f>
        <v/>
      </c>
      <c r="I202" s="7">
        <f>IF(G202&gt;300,G202-360-D202,G202-D202)</f>
        <v/>
      </c>
      <c r="J202" s="8">
        <f>IF(G202&gt;300,G202-360,0)</f>
        <v/>
      </c>
      <c r="K202" s="8">
        <f>IF(J202=0,G202,J202)</f>
        <v/>
      </c>
    </row>
    <row r="203" ht="15" customHeight="1">
      <c r="A203" s="12" t="n">
        <v>172</v>
      </c>
      <c r="B203" s="12" t="n">
        <v>403</v>
      </c>
      <c r="C203" s="12" t="n">
        <v>276</v>
      </c>
      <c r="D203" s="5" t="n">
        <v>3.17</v>
      </c>
      <c r="E203" s="9">
        <f>D203+1.5</f>
        <v/>
      </c>
      <c r="F203" s="9">
        <f>D203-1.5</f>
        <v/>
      </c>
      <c r="G203" s="25" t="n">
        <v>4.7</v>
      </c>
      <c r="H203" s="6">
        <f>IF(OR(K203&gt;E203,K203&lt;F203),"FAIL","PASS")</f>
        <v/>
      </c>
      <c r="I203" s="7">
        <f>IF(G203&gt;300,G203-360-D203,G203-D203)</f>
        <v/>
      </c>
      <c r="J203" s="8">
        <f>IF(G203&gt;300,G203-360,0)</f>
        <v/>
      </c>
      <c r="K203" s="8">
        <f>IF(J203=0,G203,J203)</f>
        <v/>
      </c>
    </row>
    <row r="204" ht="15" customHeight="1">
      <c r="A204" s="12" t="n">
        <v>171</v>
      </c>
      <c r="B204" s="12" t="n">
        <v>401</v>
      </c>
      <c r="C204" s="12" t="n">
        <v>105</v>
      </c>
      <c r="D204" s="5" t="n">
        <v>3.74</v>
      </c>
      <c r="E204" s="9">
        <f>D204+1.5</f>
        <v/>
      </c>
      <c r="F204" s="9">
        <f>D204-1.5</f>
        <v/>
      </c>
      <c r="G204" s="25" t="n">
        <v>5.24</v>
      </c>
      <c r="H204" s="6">
        <f>IF(OR(K204&gt;E204,K204&lt;F204),"FAIL","PASS")</f>
        <v/>
      </c>
      <c r="I204" s="7">
        <f>IF(G204&gt;300,G204-360-D204,G204-D204)</f>
        <v/>
      </c>
      <c r="J204" s="8">
        <f>IF(G204&gt;300,G204-360,0)</f>
        <v/>
      </c>
      <c r="K204" s="8">
        <f>IF(J204=0,G204,J204)</f>
        <v/>
      </c>
    </row>
    <row r="205" ht="15" customHeight="1">
      <c r="A205" s="12" t="n">
        <v>170</v>
      </c>
      <c r="B205" s="12" t="n">
        <v>398</v>
      </c>
      <c r="C205" s="12" t="n">
        <v>293</v>
      </c>
      <c r="D205" s="5" t="n">
        <v>4.22</v>
      </c>
      <c r="E205" s="9">
        <f>D205+1.5</f>
        <v/>
      </c>
      <c r="F205" s="9">
        <f>D205-1.5</f>
        <v/>
      </c>
      <c r="G205" s="25" t="n">
        <v>5.7</v>
      </c>
      <c r="H205" s="6">
        <f>IF(OR(K205&gt;E205,K205&lt;F205),"FAIL","PASS")</f>
        <v/>
      </c>
      <c r="I205" s="7">
        <f>IF(G205&gt;300,G205-360-D205,G205-D205)</f>
        <v/>
      </c>
      <c r="J205" s="8">
        <f>IF(G205&gt;300,G205-360,0)</f>
        <v/>
      </c>
      <c r="K205" s="8">
        <f>IF(J205=0,G205,J205)</f>
        <v/>
      </c>
    </row>
    <row r="206" ht="15" customHeight="1">
      <c r="A206" s="12" t="n">
        <v>169</v>
      </c>
      <c r="B206" s="12" t="n">
        <v>396</v>
      </c>
      <c r="C206" s="12" t="n">
        <v>121</v>
      </c>
      <c r="D206" s="5" t="n">
        <v>4.84</v>
      </c>
      <c r="E206" s="9">
        <f>D206+1.5</f>
        <v/>
      </c>
      <c r="F206" s="9">
        <f>D206-1.5</f>
        <v/>
      </c>
      <c r="G206" s="25" t="n">
        <v>6.26</v>
      </c>
      <c r="H206" s="6">
        <f>IF(OR(K206&gt;E206,K206&lt;F206),"FAIL","PASS")</f>
        <v/>
      </c>
      <c r="I206" s="7">
        <f>IF(G206&gt;300,G206-360-D206,G206-D206)</f>
        <v/>
      </c>
      <c r="J206" s="8">
        <f>IF(G206&gt;300,G206-360,0)</f>
        <v/>
      </c>
      <c r="K206" s="8">
        <f>IF(J206=0,G206,J206)</f>
        <v/>
      </c>
    </row>
    <row r="207" ht="15" customHeight="1">
      <c r="A207" s="12" t="n">
        <v>168</v>
      </c>
      <c r="B207" s="12" t="n">
        <v>393</v>
      </c>
      <c r="C207" s="12" t="n">
        <v>309</v>
      </c>
      <c r="D207" s="5" t="n">
        <v>5.52</v>
      </c>
      <c r="E207" s="9">
        <f>D207+1.5</f>
        <v/>
      </c>
      <c r="F207" s="9">
        <f>D207-1.5</f>
        <v/>
      </c>
      <c r="G207" s="25" t="n">
        <v>6.9</v>
      </c>
      <c r="H207" s="6">
        <f>IF(OR(K207&gt;E207,K207&lt;F207),"FAIL","PASS")</f>
        <v/>
      </c>
      <c r="I207" s="7">
        <f>IF(G207&gt;300,G207-360-D207,G207-D207)</f>
        <v/>
      </c>
      <c r="J207" s="8">
        <f>IF(G207&gt;300,G207-360,0)</f>
        <v/>
      </c>
      <c r="K207" s="8">
        <f>IF(J207=0,G207,J207)</f>
        <v/>
      </c>
    </row>
    <row r="208" ht="15" customHeight="1">
      <c r="A208" s="12" t="n">
        <v>167</v>
      </c>
      <c r="B208" s="12" t="n">
        <v>391</v>
      </c>
      <c r="C208" s="12" t="n">
        <v>137</v>
      </c>
      <c r="D208" s="5" t="n">
        <v>6.23</v>
      </c>
      <c r="E208" s="9">
        <f>D208+1.5</f>
        <v/>
      </c>
      <c r="F208" s="9">
        <f>D208-1.5</f>
        <v/>
      </c>
      <c r="G208" s="25" t="n">
        <v>7.54</v>
      </c>
      <c r="H208" s="6">
        <f>IF(OR(K208&gt;E208,K208&lt;F208),"FAIL","PASS")</f>
        <v/>
      </c>
      <c r="I208" s="7">
        <f>IF(G208&gt;300,G208-360-D208,G208-D208)</f>
        <v/>
      </c>
      <c r="J208" s="8">
        <f>IF(G208&gt;300,G208-360,0)</f>
        <v/>
      </c>
      <c r="K208" s="8">
        <f>IF(J208=0,G208,J208)</f>
        <v/>
      </c>
    </row>
    <row r="209" ht="15" customHeight="1">
      <c r="A209" s="12" t="n">
        <v>166</v>
      </c>
      <c r="B209" s="12" t="n">
        <v>388</v>
      </c>
      <c r="C209" s="12" t="n">
        <v>326</v>
      </c>
      <c r="D209" s="5" t="n">
        <v>6.88</v>
      </c>
      <c r="E209" s="9">
        <f>D209+1.5</f>
        <v/>
      </c>
      <c r="F209" s="9">
        <f>D209-1.5</f>
        <v/>
      </c>
      <c r="G209" s="25" t="n">
        <v>8.15</v>
      </c>
      <c r="H209" s="6">
        <f>IF(OR(K209&gt;E209,K209&lt;F209),"FAIL","PASS")</f>
        <v/>
      </c>
      <c r="I209" s="7">
        <f>IF(G209&gt;300,G209-360-D209,G209-D209)</f>
        <v/>
      </c>
      <c r="J209" s="8">
        <f>IF(G209&gt;300,G209-360,0)</f>
        <v/>
      </c>
      <c r="K209" s="8">
        <f>IF(J209=0,G209,J209)</f>
        <v/>
      </c>
    </row>
    <row r="210" ht="15" customHeight="1">
      <c r="A210" s="12" t="n">
        <v>165</v>
      </c>
      <c r="B210" s="12" t="n">
        <v>386</v>
      </c>
      <c r="C210" s="12" t="n">
        <v>154</v>
      </c>
      <c r="D210" s="5" t="n">
        <v>7.52</v>
      </c>
      <c r="E210" s="9">
        <f>D210+1.5</f>
        <v/>
      </c>
      <c r="F210" s="9">
        <f>D210-1.5</f>
        <v/>
      </c>
      <c r="G210" s="25" t="n">
        <v>8.779999999999999</v>
      </c>
      <c r="H210" s="6">
        <f>IF(OR(K210&gt;E210,K210&lt;F210),"FAIL","PASS")</f>
        <v/>
      </c>
      <c r="I210" s="7">
        <f>IF(G210&gt;300,G210-360-D210,G210-D210)</f>
        <v/>
      </c>
      <c r="J210" s="8">
        <f>IF(G210&gt;300,G210-360,0)</f>
        <v/>
      </c>
      <c r="K210" s="8">
        <f>IF(J210=0,G210,J210)</f>
        <v/>
      </c>
    </row>
    <row r="211" ht="15" customHeight="1">
      <c r="A211" s="12" t="n">
        <v>164</v>
      </c>
      <c r="B211" s="12" t="n">
        <v>383</v>
      </c>
      <c r="C211" s="12" t="n">
        <v>342</v>
      </c>
      <c r="D211" s="5" t="n">
        <v>8.17</v>
      </c>
      <c r="E211" s="9">
        <f>D211+1.5</f>
        <v/>
      </c>
      <c r="F211" s="9">
        <f>D211-1.5</f>
        <v/>
      </c>
      <c r="G211" s="25" t="n">
        <v>9.369999999999999</v>
      </c>
      <c r="H211" s="6">
        <f>IF(OR(K211&gt;E211,K211&lt;F211),"FAIL","PASS")</f>
        <v/>
      </c>
      <c r="I211" s="7">
        <f>IF(G211&gt;300,G211-360-D211,G211-D211)</f>
        <v/>
      </c>
      <c r="J211" s="8">
        <f>IF(G211&gt;300,G211-360,0)</f>
        <v/>
      </c>
      <c r="K211" s="8">
        <f>IF(J211=0,G211,J211)</f>
        <v/>
      </c>
    </row>
    <row r="212" ht="15" customHeight="1">
      <c r="A212" s="12" t="n">
        <v>163</v>
      </c>
      <c r="B212" s="12" t="n">
        <v>381</v>
      </c>
      <c r="C212" s="12" t="n">
        <v>170</v>
      </c>
      <c r="D212" s="5" t="n">
        <v>8.779999999999999</v>
      </c>
      <c r="E212" s="9">
        <f>D212+1.5</f>
        <v/>
      </c>
      <c r="F212" s="9">
        <f>D212-1.5</f>
        <v/>
      </c>
      <c r="G212" s="25" t="n">
        <v>10.02</v>
      </c>
      <c r="H212" s="6">
        <f>IF(OR(K212&gt;E212,K212&lt;F212),"FAIL","PASS")</f>
        <v/>
      </c>
      <c r="I212" s="7">
        <f>IF(G212&gt;300,G212-360-D212,G212-D212)</f>
        <v/>
      </c>
      <c r="J212" s="8">
        <f>IF(G212&gt;300,G212-360,0)</f>
        <v/>
      </c>
      <c r="K212" s="8">
        <f>IF(J212=0,G212,J212)</f>
        <v/>
      </c>
    </row>
    <row r="213" ht="15.75" customHeight="1">
      <c r="A213" s="12" t="n">
        <v>162</v>
      </c>
      <c r="B213" s="11" t="inlineStr">
        <is>
          <t xml:space="preserve"> 378
</t>
        </is>
      </c>
      <c r="C213" s="12" t="n">
        <v>359</v>
      </c>
      <c r="D213" s="5" t="n">
        <v>9.43</v>
      </c>
      <c r="E213" s="9">
        <f>D213+1.5</f>
        <v/>
      </c>
      <c r="F213" s="9">
        <f>D213-1.5</f>
        <v/>
      </c>
      <c r="G213" s="25" t="n">
        <v>10.63</v>
      </c>
      <c r="H213" s="6">
        <f>IF(OR(K213&gt;E213,K213&lt;F213),"FAIL","PASS")</f>
        <v/>
      </c>
      <c r="I213" s="7">
        <f>IF(G213&gt;300,G213-360-D213,G213-D213)</f>
        <v/>
      </c>
      <c r="J213" s="8">
        <f>IF(G213&gt;300,G213-360,0)</f>
        <v/>
      </c>
      <c r="K213" s="8">
        <f>IF(J213=0,G213,J213)</f>
        <v/>
      </c>
    </row>
    <row r="214" ht="15" customHeight="1">
      <c r="A214" s="12" t="n">
        <v>161</v>
      </c>
      <c r="B214" s="12" t="n">
        <v>376</v>
      </c>
      <c r="C214" s="12" t="n">
        <v>187</v>
      </c>
      <c r="D214" s="5" t="n">
        <v>10.07</v>
      </c>
      <c r="E214" s="9">
        <f>D214+1.5</f>
        <v/>
      </c>
      <c r="F214" s="9">
        <f>D214-1.5</f>
        <v/>
      </c>
      <c r="G214" s="25" t="n">
        <v>11.29</v>
      </c>
      <c r="H214" s="6">
        <f>IF(OR(K214&gt;E214,K214&lt;F214),"FAIL","PASS")</f>
        <v/>
      </c>
      <c r="I214" s="7">
        <f>IF(G214&gt;300,G214-360-D214,G214-D214)</f>
        <v/>
      </c>
      <c r="J214" s="8">
        <f>IF(G214&gt;300,G214-360,0)</f>
        <v/>
      </c>
      <c r="K214" s="8">
        <f>IF(J214=0,G214,J214)</f>
        <v/>
      </c>
    </row>
    <row r="215" ht="16.5" customHeight="1">
      <c r="A215" s="12" t="n">
        <v>160</v>
      </c>
      <c r="B215" s="11" t="n">
        <v>374</v>
      </c>
      <c r="C215" s="12" t="n">
        <v>15</v>
      </c>
      <c r="D215" s="5" t="n">
        <v>10.75</v>
      </c>
      <c r="E215" s="9">
        <f>D215+1.5</f>
        <v/>
      </c>
      <c r="F215" s="9">
        <f>D215-1.5</f>
        <v/>
      </c>
      <c r="G215" s="25" t="n">
        <v>11.91</v>
      </c>
      <c r="H215" s="6">
        <f>IF(OR(K215&gt;E215,K215&lt;F215),"FAIL","PASS")</f>
        <v/>
      </c>
      <c r="I215" s="7">
        <f>IF(G215&gt;300,G215-360-D215,G215-D215)</f>
        <v/>
      </c>
      <c r="J215" s="8">
        <f>IF(G215&gt;300,G215-360,0)</f>
        <v/>
      </c>
      <c r="K215" s="8">
        <f>IF(J215=0,G215,J215)</f>
        <v/>
      </c>
    </row>
    <row r="216" ht="12.75" customHeight="1">
      <c r="A216" s="11" t="inlineStr">
        <is>
          <t xml:space="preserve">159
</t>
        </is>
      </c>
      <c r="B216" s="11" t="n">
        <v>371</v>
      </c>
      <c r="C216" s="12" t="n">
        <v>203</v>
      </c>
      <c r="D216" s="5" t="n">
        <v>11.56</v>
      </c>
      <c r="E216" s="9">
        <f>D216+1.5</f>
        <v/>
      </c>
      <c r="F216" s="9">
        <f>D216-1.5</f>
        <v/>
      </c>
      <c r="G216" s="25" t="n">
        <v>12.59</v>
      </c>
      <c r="H216" s="6">
        <f>IF(OR(K216&gt;E216,K216&lt;F216),"FAIL","PASS")</f>
        <v/>
      </c>
      <c r="I216" s="7">
        <f>IF(G216&gt;300,G216-360-D216,G216-D216)</f>
        <v/>
      </c>
      <c r="J216" s="8">
        <f>IF(G216&gt;300,G216-360,0)</f>
        <v/>
      </c>
      <c r="K216" s="8">
        <f>IF(J216=0,G216,J216)</f>
        <v/>
      </c>
    </row>
    <row r="217" ht="15" customHeight="1">
      <c r="A217" s="12" t="n">
        <v>158</v>
      </c>
      <c r="B217" s="12" t="n">
        <v>369</v>
      </c>
      <c r="C217" s="12" t="n">
        <v>32</v>
      </c>
      <c r="D217" s="5" t="n">
        <v>12.6</v>
      </c>
      <c r="E217" s="9">
        <f>D217+1.5</f>
        <v/>
      </c>
      <c r="F217" s="9">
        <f>D217-1.5</f>
        <v/>
      </c>
      <c r="G217" s="25" t="n">
        <v>13.23</v>
      </c>
      <c r="H217" s="6">
        <f>IF(OR(K217&gt;E217,K217&lt;F217),"FAIL","PASS")</f>
        <v/>
      </c>
      <c r="I217" s="7">
        <f>IF(G217&gt;300,G217-360-D217,G217-D217)</f>
        <v/>
      </c>
      <c r="J217" s="8">
        <f>IF(G217&gt;300,G217-360,0)</f>
        <v/>
      </c>
      <c r="K217" s="8">
        <f>IF(J217=0,G217,J217)</f>
        <v/>
      </c>
    </row>
    <row r="218" ht="13.5" customHeight="1">
      <c r="A218" s="12" t="n">
        <v>157</v>
      </c>
      <c r="B218" s="12" t="n">
        <v>366</v>
      </c>
      <c r="C218" s="12" t="n">
        <v>220</v>
      </c>
      <c r="D218" s="5" t="n">
        <v>13.31</v>
      </c>
      <c r="E218" s="9">
        <f>D218+1.5</f>
        <v/>
      </c>
      <c r="F218" s="9">
        <f>D218-1.5</f>
        <v/>
      </c>
      <c r="G218" s="25" t="n">
        <v>13.92</v>
      </c>
      <c r="H218" s="6">
        <f>IF(OR(K218&gt;E218,K218&lt;F218),"FAIL","PASS")</f>
        <v/>
      </c>
      <c r="I218" s="7">
        <f>IF(G218&gt;300,G218-360-D218,G218-D218)</f>
        <v/>
      </c>
      <c r="J218" s="8">
        <f>IF(G218&gt;300,G218-360,0)</f>
        <v/>
      </c>
      <c r="K218" s="8">
        <f>IF(J218=0,G218,J218)</f>
        <v/>
      </c>
    </row>
    <row r="219" ht="15" customHeight="1">
      <c r="A219" s="12" t="n">
        <v>156</v>
      </c>
      <c r="B219" s="12" t="n">
        <v>364</v>
      </c>
      <c r="C219" s="12" t="n">
        <v>48</v>
      </c>
      <c r="D219" s="5" t="n">
        <v>13.97</v>
      </c>
      <c r="E219" s="9">
        <f>D219+1.5</f>
        <v/>
      </c>
      <c r="F219" s="9">
        <f>D219-1.5</f>
        <v/>
      </c>
      <c r="G219" s="25" t="n">
        <v>14.57</v>
      </c>
      <c r="H219" s="6">
        <f>IF(OR(K219&gt;E219,K219&lt;F219),"FAIL","PASS")</f>
        <v/>
      </c>
      <c r="I219" s="7">
        <f>IF(G219&gt;300,G219-360-D219,G219-D219)</f>
        <v/>
      </c>
      <c r="J219" s="8">
        <f>IF(G219&gt;300,G219-360,0)</f>
        <v/>
      </c>
      <c r="K219" s="8">
        <f>IF(J219=0,G219,J219)</f>
        <v/>
      </c>
    </row>
    <row r="220" ht="15" customHeight="1">
      <c r="A220" s="12" t="n">
        <v>155</v>
      </c>
      <c r="B220" s="12" t="n">
        <v>361</v>
      </c>
      <c r="C220" s="12" t="n">
        <v>236</v>
      </c>
      <c r="D220" s="5" t="n">
        <v>14.64</v>
      </c>
      <c r="E220" s="9">
        <f>D220+1.5</f>
        <v/>
      </c>
      <c r="F220" s="9">
        <f>D220-1.5</f>
        <v/>
      </c>
      <c r="G220" s="25" t="n">
        <v>15.26</v>
      </c>
      <c r="H220" s="6">
        <f>IF(OR(K220&gt;E220,K220&lt;F220),"FAIL","PASS")</f>
        <v/>
      </c>
      <c r="I220" s="7">
        <f>IF(G220&gt;300,G220-360-D220,G220-D220)</f>
        <v/>
      </c>
      <c r="J220" s="8">
        <f>IF(G220&gt;300,G220-360,0)</f>
        <v/>
      </c>
      <c r="K220" s="8">
        <f>IF(J220=0,G220,J220)</f>
        <v/>
      </c>
    </row>
    <row r="221" ht="15" customHeight="1">
      <c r="A221" s="12" t="n">
        <v>154</v>
      </c>
      <c r="B221" s="12" t="n">
        <v>359</v>
      </c>
      <c r="C221" s="12" t="n">
        <v>65</v>
      </c>
      <c r="D221" s="16" t="n">
        <v>15.31</v>
      </c>
      <c r="E221" s="9">
        <f>D221+1.5</f>
        <v/>
      </c>
      <c r="F221" s="9">
        <f>D221-1.5</f>
        <v/>
      </c>
      <c r="G221" s="25" t="n">
        <v>15.88</v>
      </c>
      <c r="H221" s="6">
        <f>IF(OR(K221&gt;E221,K221&lt;F221),"FAIL","PASS")</f>
        <v/>
      </c>
      <c r="I221" s="7">
        <f>IF(G221&gt;300,G221-360-D221,G221-D221)</f>
        <v/>
      </c>
      <c r="J221" s="8">
        <f>IF(G221&gt;300,G221-360,0)</f>
        <v/>
      </c>
      <c r="K221" s="8">
        <f>IF(J221=0,G221,J221)</f>
        <v/>
      </c>
    </row>
    <row r="222" ht="15" customHeight="1">
      <c r="A222" s="12" t="n">
        <v>153</v>
      </c>
      <c r="B222" s="12" t="n">
        <v>356</v>
      </c>
      <c r="C222" s="12" t="n">
        <v>253</v>
      </c>
      <c r="D222" s="5" t="n">
        <v>15.98</v>
      </c>
      <c r="E222" s="9">
        <f>D222+1.5</f>
        <v/>
      </c>
      <c r="F222" s="9">
        <f>D222-1.5</f>
        <v/>
      </c>
      <c r="G222" s="25" t="n">
        <v>16.56</v>
      </c>
      <c r="H222" s="6">
        <f>IF(OR(K222&gt;E222,K222&lt;F222),"FAIL","PASS")</f>
        <v/>
      </c>
      <c r="I222" s="7">
        <f>IF(G222&gt;300,G222-360-D222,G222-D222)</f>
        <v/>
      </c>
      <c r="J222" s="8">
        <f>IF(G222&gt;300,G222-360,0)</f>
        <v/>
      </c>
      <c r="K222" s="8">
        <f>IF(J222=0,G222,J222)</f>
        <v/>
      </c>
    </row>
    <row r="223" ht="15" customHeight="1">
      <c r="A223" s="12" t="n">
        <v>152</v>
      </c>
      <c r="B223" s="12" t="n">
        <v>354</v>
      </c>
      <c r="C223" s="12" t="n">
        <v>81</v>
      </c>
      <c r="D223" s="5" t="n">
        <v>16.68</v>
      </c>
      <c r="E223" s="9">
        <f>D223+1.5</f>
        <v/>
      </c>
      <c r="F223" s="9">
        <f>D223-1.5</f>
        <v/>
      </c>
      <c r="G223" s="25" t="n">
        <v>17.17</v>
      </c>
      <c r="H223" s="6">
        <f>IF(OR(K223&gt;E223,K223&lt;F223),"FAIL","PASS")</f>
        <v/>
      </c>
      <c r="I223" s="7">
        <f>IF(G223&gt;300,G223-360-D223,G223-D223)</f>
        <v/>
      </c>
      <c r="J223" s="8">
        <f>IF(G223&gt;300,G223-360,0)</f>
        <v/>
      </c>
      <c r="K223" s="8">
        <f>IF(J223=0,G223,J223)</f>
        <v/>
      </c>
    </row>
    <row r="224" ht="15" customHeight="1">
      <c r="A224" s="12" t="n">
        <v>151</v>
      </c>
      <c r="B224" s="12" t="n">
        <v>351</v>
      </c>
      <c r="C224" s="12" t="n">
        <v>269</v>
      </c>
      <c r="D224" s="5" t="n">
        <v>17.36</v>
      </c>
      <c r="E224" s="9">
        <f>D224+1.5</f>
        <v/>
      </c>
      <c r="F224" s="9">
        <f>D224-1.5</f>
        <v/>
      </c>
      <c r="G224" s="25" t="n">
        <v>17.83</v>
      </c>
      <c r="H224" s="6">
        <f>IF(OR(K224&gt;E224,K224&lt;F224),"FAIL","PASS")</f>
        <v/>
      </c>
      <c r="I224" s="7">
        <f>IF(G224&gt;300,G224-360-D224,G224-D224)</f>
        <v/>
      </c>
      <c r="J224" s="8">
        <f>IF(G224&gt;300,G224-360,0)</f>
        <v/>
      </c>
      <c r="K224" s="8">
        <f>IF(J224=0,G224,J224)</f>
        <v/>
      </c>
    </row>
    <row r="225" ht="15" customHeight="1">
      <c r="A225" s="12" t="n">
        <v>150</v>
      </c>
      <c r="B225" s="12" t="n">
        <v>349</v>
      </c>
      <c r="C225" s="12" t="n">
        <v>98</v>
      </c>
      <c r="D225" s="5" t="n">
        <v>18</v>
      </c>
      <c r="E225" s="9">
        <f>D225+1.5</f>
        <v/>
      </c>
      <c r="F225" s="9">
        <f>D225-1.5</f>
        <v/>
      </c>
      <c r="G225" s="25" t="n">
        <v>18.47</v>
      </c>
      <c r="H225" s="6">
        <f>IF(OR(K225&gt;E225,K225&lt;F225),"FAIL","PASS")</f>
        <v/>
      </c>
      <c r="I225" s="7">
        <f>IF(G225&gt;300,G225-360-D225,G225-D225)</f>
        <v/>
      </c>
      <c r="J225" s="8">
        <f>IF(G225&gt;300,G225-360,0)</f>
        <v/>
      </c>
      <c r="K225" s="8">
        <f>IF(J225=0,G225,J225)</f>
        <v/>
      </c>
    </row>
    <row r="226" ht="15" customHeight="1">
      <c r="A226" s="12" t="n">
        <v>149</v>
      </c>
      <c r="B226" s="12" t="n">
        <v>346</v>
      </c>
      <c r="C226" s="12" t="n">
        <v>286</v>
      </c>
      <c r="D226" s="5" t="n">
        <v>18.65</v>
      </c>
      <c r="E226" s="9">
        <f>D226+1.5</f>
        <v/>
      </c>
      <c r="F226" s="9">
        <f>D226-1.5</f>
        <v/>
      </c>
      <c r="G226" s="25" t="n">
        <v>19.13</v>
      </c>
      <c r="H226" s="6">
        <f>IF(OR(K226&gt;E226,K226&lt;F226),"FAIL","PASS")</f>
        <v/>
      </c>
      <c r="I226" s="7">
        <f>IF(G226&gt;300,G226-360-D226,G226-D226)</f>
        <v/>
      </c>
      <c r="J226" s="8">
        <f>IF(G226&gt;300,G226-360,0)</f>
        <v/>
      </c>
      <c r="K226" s="8">
        <f>IF(J226=0,G226,J226)</f>
        <v/>
      </c>
    </row>
    <row r="227" ht="15" customHeight="1">
      <c r="A227" s="12" t="n">
        <v>148</v>
      </c>
      <c r="B227" s="12" t="n">
        <v>344</v>
      </c>
      <c r="C227" s="12" t="n">
        <v>114</v>
      </c>
      <c r="D227" s="5" t="n">
        <v>19.32</v>
      </c>
      <c r="E227" s="9">
        <f>D227+1.5</f>
        <v/>
      </c>
      <c r="F227" s="9">
        <f>D227-1.5</f>
        <v/>
      </c>
      <c r="G227" s="25" t="n">
        <v>19.73</v>
      </c>
      <c r="H227" s="6">
        <f>IF(OR(K227&gt;E227,K227&lt;F227),"FAIL","PASS")</f>
        <v/>
      </c>
      <c r="I227" s="7">
        <f>IF(G227&gt;300,G227-360-D227,G227-D227)</f>
        <v/>
      </c>
      <c r="J227" s="8">
        <f>IF(G227&gt;300,G227-360,0)</f>
        <v/>
      </c>
      <c r="K227" s="8">
        <f>IF(J227=0,G227,J227)</f>
        <v/>
      </c>
    </row>
    <row r="228" ht="15" customHeight="1">
      <c r="A228" s="12" t="n">
        <v>147</v>
      </c>
      <c r="B228" s="12" t="n">
        <v>341</v>
      </c>
      <c r="C228" s="12" t="n">
        <v>302</v>
      </c>
      <c r="D228" s="5" t="n">
        <v>19.96</v>
      </c>
      <c r="E228" s="9">
        <f>D228+1.5</f>
        <v/>
      </c>
      <c r="F228" s="9">
        <f>D228-1.5</f>
        <v/>
      </c>
      <c r="G228" s="25" t="n">
        <v>20.41</v>
      </c>
      <c r="H228" s="6">
        <f>IF(OR(K228&gt;E228,K228&lt;F228),"FAIL","PASS")</f>
        <v/>
      </c>
      <c r="I228" s="7">
        <f>IF(G228&gt;300,G228-360-D228,G228-D228)</f>
        <v/>
      </c>
      <c r="J228" s="8">
        <f>IF(G228&gt;300,G228-360,0)</f>
        <v/>
      </c>
      <c r="K228" s="8">
        <f>IF(J228=0,G228,J228)</f>
        <v/>
      </c>
    </row>
    <row r="229" ht="15" customHeight="1">
      <c r="A229" s="12" t="n">
        <v>146</v>
      </c>
      <c r="B229" s="12" t="n">
        <v>339</v>
      </c>
      <c r="C229" s="12" t="n">
        <v>131</v>
      </c>
      <c r="D229" s="5" t="n">
        <v>20.61</v>
      </c>
      <c r="E229" s="9">
        <f>D229+1.5</f>
        <v/>
      </c>
      <c r="F229" s="9">
        <f>D229-1.5</f>
        <v/>
      </c>
      <c r="G229" s="25" t="n">
        <v>21.03</v>
      </c>
      <c r="H229" s="6">
        <f>IF(OR(K229&gt;E229,K229&lt;F229),"FAIL","PASS")</f>
        <v/>
      </c>
      <c r="I229" s="7">
        <f>IF(G229&gt;300,G229-360-D229,G229-D229)</f>
        <v/>
      </c>
      <c r="J229" s="8">
        <f>IF(G229&gt;300,G229-360,0)</f>
        <v/>
      </c>
      <c r="K229" s="8">
        <f>IF(J229=0,G229,J229)</f>
        <v/>
      </c>
    </row>
    <row r="230" ht="15" customHeight="1">
      <c r="A230" s="12" t="n">
        <v>145</v>
      </c>
      <c r="B230" s="12" t="n">
        <v>336</v>
      </c>
      <c r="C230" s="12" t="n">
        <v>319</v>
      </c>
      <c r="D230" s="5" t="n">
        <v>21.28</v>
      </c>
      <c r="E230" s="9">
        <f>D230+1.5</f>
        <v/>
      </c>
      <c r="F230" s="9">
        <f>D230-1.5</f>
        <v/>
      </c>
      <c r="G230" s="25" t="n">
        <v>21.71</v>
      </c>
      <c r="H230" s="6">
        <f>IF(OR(K230&gt;E230,K230&lt;F230),"FAIL","PASS")</f>
        <v/>
      </c>
      <c r="I230" s="7">
        <f>IF(G230&gt;300,G230-360-D230,G230-D230)</f>
        <v/>
      </c>
      <c r="J230" s="8">
        <f>IF(G230&gt;300,G230-360,0)</f>
        <v/>
      </c>
      <c r="K230" s="8">
        <f>IF(J230=0,G230,J230)</f>
        <v/>
      </c>
    </row>
    <row r="231" ht="15" customHeight="1">
      <c r="A231" s="12" t="n">
        <v>144</v>
      </c>
      <c r="B231" s="12" t="n">
        <v>334</v>
      </c>
      <c r="C231" s="12" t="n">
        <v>147</v>
      </c>
      <c r="D231" s="5" t="n">
        <v>21.94</v>
      </c>
      <c r="E231" s="9">
        <f>D231+1.5</f>
        <v/>
      </c>
      <c r="F231" s="9">
        <f>D231-1.5</f>
        <v/>
      </c>
      <c r="G231" s="25" t="n">
        <v>22.33</v>
      </c>
      <c r="H231" s="6">
        <f>IF(OR(K231&gt;E231,K231&lt;F231),"FAIL","PASS")</f>
        <v/>
      </c>
      <c r="I231" s="7">
        <f>IF(G231&gt;300,G231-360-D231,G231-D231)</f>
        <v/>
      </c>
      <c r="J231" s="8">
        <f>IF(G231&gt;300,G231-360,0)</f>
        <v/>
      </c>
      <c r="K231" s="8">
        <f>IF(J231=0,G231,J231)</f>
        <v/>
      </c>
    </row>
    <row r="232" ht="15" customHeight="1">
      <c r="A232" s="12" t="n">
        <v>143</v>
      </c>
      <c r="B232" s="12" t="n">
        <v>331</v>
      </c>
      <c r="C232" s="12" t="n">
        <v>335</v>
      </c>
      <c r="D232" s="5" t="n">
        <v>22.59</v>
      </c>
      <c r="E232" s="9">
        <f>D232+1.5</f>
        <v/>
      </c>
      <c r="F232" s="9">
        <f>D232-1.5</f>
        <v/>
      </c>
      <c r="G232" s="25" t="n">
        <v>23.01</v>
      </c>
      <c r="H232" s="6">
        <f>IF(OR(K232&gt;E232,K232&lt;F232),"FAIL","PASS")</f>
        <v/>
      </c>
      <c r="I232" s="7">
        <f>IF(G232&gt;300,G232-360-D232,G232-D232)</f>
        <v/>
      </c>
      <c r="J232" s="8">
        <f>IF(G232&gt;300,G232-360,0)</f>
        <v/>
      </c>
      <c r="K232" s="8">
        <f>IF(J232=0,G232,J232)</f>
        <v/>
      </c>
    </row>
    <row r="233" ht="15" customHeight="1">
      <c r="A233" s="12" t="n">
        <v>142</v>
      </c>
      <c r="B233" s="12" t="n">
        <v>329</v>
      </c>
      <c r="C233" s="12" t="n">
        <v>164</v>
      </c>
      <c r="D233" s="5" t="n">
        <v>23.22</v>
      </c>
      <c r="E233" s="9">
        <f>D233+1.5</f>
        <v/>
      </c>
      <c r="F233" s="9">
        <f>D233-1.5</f>
        <v/>
      </c>
      <c r="G233" s="25" t="n">
        <v>23.68</v>
      </c>
      <c r="H233" s="6">
        <f>IF(OR(K233&gt;E233,K233&lt;F233),"FAIL","PASS")</f>
        <v/>
      </c>
      <c r="I233" s="7">
        <f>IF(G233&gt;300,G233-360-D233,G233-D233)</f>
        <v/>
      </c>
      <c r="J233" s="8">
        <f>IF(G233&gt;300,G233-360,0)</f>
        <v/>
      </c>
      <c r="K233" s="8">
        <f>IF(J233=0,G233,J233)</f>
        <v/>
      </c>
    </row>
    <row r="234" ht="15" customHeight="1">
      <c r="A234" s="12" t="n">
        <v>141</v>
      </c>
      <c r="B234" s="12" t="n">
        <v>326</v>
      </c>
      <c r="C234" s="12" t="n">
        <v>352</v>
      </c>
      <c r="D234" s="5" t="n">
        <v>23.9</v>
      </c>
      <c r="E234" s="9">
        <f>D234+1.5</f>
        <v/>
      </c>
      <c r="F234" s="9">
        <f>D234-1.5</f>
        <v/>
      </c>
      <c r="G234" s="25" t="n">
        <v>24.41</v>
      </c>
      <c r="H234" s="6">
        <f>IF(OR(K234&gt;E234,K234&lt;F234),"FAIL","PASS")</f>
        <v/>
      </c>
      <c r="I234" s="7">
        <f>IF(G234&gt;300,G234-360-D234,G234-D234)</f>
        <v/>
      </c>
      <c r="J234" s="8">
        <f>IF(G234&gt;300,G234-360,0)</f>
        <v/>
      </c>
      <c r="K234" s="8">
        <f>IF(J234=0,G234,J234)</f>
        <v/>
      </c>
    </row>
    <row r="235" ht="15" customHeight="1">
      <c r="A235" s="12" t="n">
        <v>140</v>
      </c>
      <c r="B235" s="12" t="n">
        <v>324</v>
      </c>
      <c r="C235" s="12" t="n">
        <v>180</v>
      </c>
      <c r="D235" s="5" t="n">
        <v>24.55</v>
      </c>
      <c r="E235" s="9">
        <f>D235+1.5</f>
        <v/>
      </c>
      <c r="F235" s="9">
        <f>D235-1.5</f>
        <v/>
      </c>
      <c r="G235" s="25" t="n">
        <v>25.09</v>
      </c>
      <c r="H235" s="6">
        <f>IF(OR(K235&gt;E235,K235&lt;F235),"FAIL","PASS")</f>
        <v/>
      </c>
      <c r="I235" s="7">
        <f>IF(G235&gt;300,G235-360-D235,G235-D235)</f>
        <v/>
      </c>
      <c r="J235" s="8">
        <f>IF(G235&gt;300,G235-360,0)</f>
        <v/>
      </c>
      <c r="K235" s="8">
        <f>IF(J235=0,G235,J235)</f>
        <v/>
      </c>
    </row>
    <row r="236" ht="15" customHeight="1">
      <c r="A236" s="12" t="n">
        <v>139</v>
      </c>
      <c r="B236" s="12" t="n">
        <v>322</v>
      </c>
      <c r="C236" s="12" t="n">
        <v>8</v>
      </c>
      <c r="D236" s="5" t="n">
        <v>25.18</v>
      </c>
      <c r="E236" s="9">
        <f>D236+1.5</f>
        <v/>
      </c>
      <c r="F236" s="9">
        <f>D236-1.5</f>
        <v/>
      </c>
      <c r="G236" s="25" t="n">
        <v>25.83</v>
      </c>
      <c r="H236" s="6">
        <f>IF(OR(K236&gt;E236,K236&lt;F236),"FAIL","PASS")</f>
        <v/>
      </c>
      <c r="I236" s="7">
        <f>IF(G236&gt;300,G236-360-D236,G236-D236)</f>
        <v/>
      </c>
      <c r="J236" s="8">
        <f>IF(G236&gt;300,G236-360,0)</f>
        <v/>
      </c>
      <c r="K236" s="8">
        <f>IF(J236=0,G236,J236)</f>
        <v/>
      </c>
    </row>
    <row r="237" ht="15" customHeight="1">
      <c r="A237" s="12" t="n">
        <v>138</v>
      </c>
      <c r="B237" s="12" t="n">
        <v>319</v>
      </c>
      <c r="C237" s="12" t="n">
        <v>197</v>
      </c>
      <c r="D237" s="5" t="n">
        <v>25.83</v>
      </c>
      <c r="E237" s="9">
        <f>D237+1.5</f>
        <v/>
      </c>
      <c r="F237" s="9">
        <f>D237-1.5</f>
        <v/>
      </c>
      <c r="G237" s="25" t="n">
        <v>26.48</v>
      </c>
      <c r="H237" s="6">
        <f>IF(OR(K237&gt;E237,K237&lt;F237),"FAIL","PASS")</f>
        <v/>
      </c>
      <c r="I237" s="7">
        <f>IF(G237&gt;300,G237-360-D237,G237-D237)</f>
        <v/>
      </c>
      <c r="J237" s="8">
        <f>IF(G237&gt;300,G237-360,0)</f>
        <v/>
      </c>
      <c r="K237" s="8">
        <f>IF(J237=0,G237,J237)</f>
        <v/>
      </c>
    </row>
    <row r="238" ht="15" customHeight="1">
      <c r="A238" s="12" t="n">
        <v>137</v>
      </c>
      <c r="B238" s="12" t="n">
        <v>317</v>
      </c>
      <c r="C238" s="12" t="n">
        <v>25</v>
      </c>
      <c r="D238" s="5" t="n">
        <v>26.51</v>
      </c>
      <c r="E238" s="9">
        <f>D238+1.5</f>
        <v/>
      </c>
      <c r="F238" s="9">
        <f>D238-1.5</f>
        <v/>
      </c>
      <c r="G238" s="25" t="n">
        <v>27.17</v>
      </c>
      <c r="H238" s="6">
        <f>IF(OR(K238&gt;E238,K238&lt;F238),"FAIL","PASS")</f>
        <v/>
      </c>
      <c r="I238" s="7">
        <f>IF(G238&gt;300,G238-360-D238,G238-D238)</f>
        <v/>
      </c>
      <c r="J238" s="8">
        <f>IF(G238&gt;300,G238-360,0)</f>
        <v/>
      </c>
      <c r="K238" s="8">
        <f>IF(J238=0,G238,J238)</f>
        <v/>
      </c>
    </row>
    <row r="239" ht="15" customHeight="1">
      <c r="A239" s="12" t="n">
        <v>136</v>
      </c>
      <c r="B239" s="12" t="n">
        <v>314</v>
      </c>
      <c r="C239" s="15" t="n">
        <v>213</v>
      </c>
      <c r="D239" s="5" t="n">
        <v>27.18</v>
      </c>
      <c r="E239" s="9">
        <f>D239+1.5</f>
        <v/>
      </c>
      <c r="F239" s="9">
        <f>D239-1.5</f>
        <v/>
      </c>
      <c r="G239" s="25" t="n">
        <v>27.81</v>
      </c>
      <c r="H239" s="6">
        <f>IF(OR(K239&gt;E239,K239&lt;F239),"FAIL","PASS")</f>
        <v/>
      </c>
      <c r="I239" s="7">
        <f>IF(G239&gt;300,G239-360-D239,G239-D239)</f>
        <v/>
      </c>
      <c r="J239" s="8">
        <f>IF(G239&gt;300,G239-360,0)</f>
        <v/>
      </c>
      <c r="K239" s="8">
        <f>IF(J239=0,G239,J239)</f>
        <v/>
      </c>
    </row>
    <row r="240" ht="15" customHeight="1">
      <c r="A240" s="12" t="n">
        <v>135</v>
      </c>
      <c r="B240" s="12" t="n">
        <v>312</v>
      </c>
      <c r="C240" s="12" t="n">
        <v>41</v>
      </c>
      <c r="D240" s="5" t="n">
        <v>27.83</v>
      </c>
      <c r="E240" s="9">
        <f>D240+1.5</f>
        <v/>
      </c>
      <c r="F240" s="9">
        <f>D240-1.5</f>
        <v/>
      </c>
      <c r="G240" s="25" t="n">
        <v>28.49</v>
      </c>
      <c r="H240" s="6">
        <f>IF(OR(K240&gt;E240,K240&lt;F240),"FAIL","PASS")</f>
        <v/>
      </c>
      <c r="I240" s="7">
        <f>IF(G240&gt;300,G240-360-D240,G240-D240)</f>
        <v/>
      </c>
      <c r="J240" s="8">
        <f>IF(G240&gt;300,G240-360,0)</f>
        <v/>
      </c>
      <c r="K240" s="8">
        <f>IF(J240=0,G240,J240)</f>
        <v/>
      </c>
    </row>
    <row r="241" ht="15" customHeight="1">
      <c r="A241" s="12" t="n">
        <v>134</v>
      </c>
      <c r="B241" s="12" t="n">
        <v>309</v>
      </c>
      <c r="C241" s="12" t="n">
        <v>230</v>
      </c>
      <c r="D241" s="5" t="n">
        <v>28.49</v>
      </c>
      <c r="E241" s="9">
        <f>D241+1.5</f>
        <v/>
      </c>
      <c r="F241" s="9">
        <f>D241-1.5</f>
        <v/>
      </c>
      <c r="G241" s="25" t="n">
        <v>29.1</v>
      </c>
      <c r="H241" s="6">
        <f>IF(OR(K241&gt;E241,K241&lt;F241),"FAIL","PASS")</f>
        <v/>
      </c>
      <c r="I241" s="7">
        <f>IF(G241&gt;300,G241-360-D241,G241-D241)</f>
        <v/>
      </c>
      <c r="J241" s="8">
        <f>IF(G241&gt;300,G241-360,0)</f>
        <v/>
      </c>
      <c r="K241" s="8">
        <f>IF(J241=0,G241,J241)</f>
        <v/>
      </c>
    </row>
    <row r="242" ht="15" customHeight="1">
      <c r="A242" s="12" t="n">
        <v>133</v>
      </c>
      <c r="B242" s="12" t="n">
        <v>307</v>
      </c>
      <c r="C242" s="12" t="n">
        <v>58</v>
      </c>
      <c r="D242" s="5" t="n">
        <v>29.15</v>
      </c>
      <c r="E242" s="9">
        <f>D242+1.5</f>
        <v/>
      </c>
      <c r="F242" s="9">
        <f>D242-1.5</f>
        <v/>
      </c>
      <c r="G242" s="25" t="n">
        <v>29.79</v>
      </c>
      <c r="H242" s="6">
        <f>IF(OR(K242&gt;E242,K242&lt;F242),"FAIL","PASS")</f>
        <v/>
      </c>
      <c r="I242" s="7">
        <f>IF(G242&gt;300,G242-360-D242,G242-D242)</f>
        <v/>
      </c>
      <c r="J242" s="8">
        <f>IF(G242&gt;300,G242-360,0)</f>
        <v/>
      </c>
      <c r="K242" s="8">
        <f>IF(J242=0,G242,J242)</f>
        <v/>
      </c>
    </row>
    <row r="243" ht="15" customHeight="1">
      <c r="A243" s="12" t="n">
        <v>132</v>
      </c>
      <c r="B243" s="12" t="n">
        <v>304</v>
      </c>
      <c r="C243" s="12" t="n">
        <v>246</v>
      </c>
      <c r="D243" s="5" t="n">
        <v>29.78</v>
      </c>
      <c r="E243" s="9">
        <f>D243+1.5</f>
        <v/>
      </c>
      <c r="F243" s="9">
        <f>D243-1.5</f>
        <v/>
      </c>
      <c r="G243" s="25" t="n">
        <v>30.39</v>
      </c>
      <c r="H243" s="6">
        <f>IF(OR(K243&gt;E243,K243&lt;F243),"FAIL","PASS")</f>
        <v/>
      </c>
      <c r="I243" s="7">
        <f>IF(G243&gt;300,G243-360-D243,G243-D243)</f>
        <v/>
      </c>
      <c r="J243" s="8">
        <f>IF(G243&gt;300,G243-360,0)</f>
        <v/>
      </c>
      <c r="K243" s="8">
        <f>IF(J243=0,G243,J243)</f>
        <v/>
      </c>
    </row>
    <row r="244" ht="15.75" customHeight="1">
      <c r="A244" s="15" t="n">
        <v>131</v>
      </c>
      <c r="B244" s="11" t="inlineStr">
        <is>
          <t xml:space="preserve">302
</t>
        </is>
      </c>
      <c r="C244" s="11" t="n">
        <v>74</v>
      </c>
      <c r="D244" s="5" t="n">
        <v>30.44</v>
      </c>
      <c r="E244" s="9">
        <f>D244+1.5</f>
        <v/>
      </c>
      <c r="F244" s="9">
        <f>D244-1.5</f>
        <v/>
      </c>
      <c r="G244" s="25" t="n">
        <v>31.07</v>
      </c>
      <c r="H244" s="6">
        <f>IF(OR(K244&gt;E244,K244&lt;F244),"FAIL","PASS")</f>
        <v/>
      </c>
      <c r="I244" s="7">
        <f>IF(G244&gt;300,G244-360-D244,G244-D244)</f>
        <v/>
      </c>
      <c r="J244" s="8">
        <f>IF(G244&gt;300,G244-360,0)</f>
        <v/>
      </c>
      <c r="K244" s="8">
        <f>IF(J244=0,G244,J244)</f>
        <v/>
      </c>
    </row>
    <row r="245" ht="15" customHeight="1">
      <c r="A245" s="11" t="n">
        <v>130</v>
      </c>
      <c r="B245" s="12" t="n">
        <v>299</v>
      </c>
      <c r="C245" s="12" t="n">
        <v>263</v>
      </c>
      <c r="D245" s="5" t="n">
        <v>31.1</v>
      </c>
      <c r="E245" s="9">
        <f>D245+1.5</f>
        <v/>
      </c>
      <c r="F245" s="9">
        <f>D245-1.5</f>
        <v/>
      </c>
      <c r="G245" s="25" t="n">
        <v>31.67</v>
      </c>
      <c r="H245" s="6">
        <f>IF(OR(K245&gt;E245,K245&lt;F245),"FAIL","PASS")</f>
        <v/>
      </c>
      <c r="I245" s="7">
        <f>IF(G245&gt;300,G245-360-D245,G245-D245)</f>
        <v/>
      </c>
      <c r="J245" s="8">
        <f>IF(G245&gt;300,G245-360,0)</f>
        <v/>
      </c>
      <c r="K245" s="8">
        <f>IF(J245=0,G245,J245)</f>
        <v/>
      </c>
    </row>
    <row r="246" ht="12.75" customHeight="1">
      <c r="A246" s="12" t="n">
        <v>129</v>
      </c>
      <c r="B246" s="12" t="n">
        <v>297</v>
      </c>
      <c r="C246" s="12" t="n">
        <v>91</v>
      </c>
      <c r="D246" s="5" t="n">
        <v>31.79</v>
      </c>
      <c r="E246" s="9">
        <f>D246+1.5</f>
        <v/>
      </c>
      <c r="F246" s="9">
        <f>D246-1.5</f>
        <v/>
      </c>
      <c r="G246" s="25" t="n">
        <v>32.29</v>
      </c>
      <c r="H246" s="6">
        <f>IF(OR(K246&gt;E246,K246&lt;F246),"FAIL","PASS")</f>
        <v/>
      </c>
      <c r="I246" s="7">
        <f>IF(G246&gt;300,G246-360-D246,G246-D246)</f>
        <v/>
      </c>
      <c r="J246" s="8">
        <f>IF(G246&gt;300,G246-360,0)</f>
        <v/>
      </c>
      <c r="K246" s="8">
        <f>IF(J246=0,G246,J246)</f>
        <v/>
      </c>
    </row>
    <row r="247" ht="15" customHeight="1">
      <c r="A247" s="12" t="n">
        <v>128</v>
      </c>
      <c r="B247" s="12" t="n">
        <v>294</v>
      </c>
      <c r="C247" s="12" t="n">
        <v>279</v>
      </c>
      <c r="D247" s="5" t="n">
        <v>32.46</v>
      </c>
      <c r="E247" s="9">
        <f>D247+1.5</f>
        <v/>
      </c>
      <c r="F247" s="9">
        <f>D247-1.5</f>
        <v/>
      </c>
      <c r="G247" s="25" t="n">
        <v>32.99</v>
      </c>
      <c r="H247" s="6">
        <f>IF(OR(K247&gt;E247,K247&lt;F247),"FAIL","PASS")</f>
        <v/>
      </c>
      <c r="I247" s="7">
        <f>IF(G247&gt;300,G247-360-D247,G247-D247)</f>
        <v/>
      </c>
      <c r="J247" s="8">
        <f>IF(G247&gt;300,G247-360,0)</f>
        <v/>
      </c>
      <c r="K247" s="8">
        <f>IF(J247=0,G247,J247)</f>
        <v/>
      </c>
    </row>
    <row r="248" ht="15" customHeight="1">
      <c r="A248" s="12" t="n">
        <v>127</v>
      </c>
      <c r="B248" s="12" t="n">
        <v>292</v>
      </c>
      <c r="C248" s="12" t="n">
        <v>107</v>
      </c>
      <c r="D248" s="5" t="n">
        <v>33.09</v>
      </c>
      <c r="E248" s="9">
        <f>D248+1.5</f>
        <v/>
      </c>
      <c r="F248" s="9">
        <f>D248-1.5</f>
        <v/>
      </c>
      <c r="G248" s="25" t="n">
        <v>33.63</v>
      </c>
      <c r="H248" s="6">
        <f>IF(OR(K248&gt;E248,K248&lt;F248),"FAIL","PASS")</f>
        <v/>
      </c>
      <c r="I248" s="7">
        <f>IF(G248&gt;300,G248-360-D248,G248-D248)</f>
        <v/>
      </c>
      <c r="J248" s="8">
        <f>IF(G248&gt;300,G248-360,0)</f>
        <v/>
      </c>
      <c r="K248" s="8">
        <f>IF(J248=0,G248,J248)</f>
        <v/>
      </c>
    </row>
    <row r="249" ht="15" customHeight="1">
      <c r="A249" s="12" t="n">
        <v>126</v>
      </c>
      <c r="B249" s="12" t="n">
        <v>289</v>
      </c>
      <c r="C249" s="12" t="n">
        <v>295</v>
      </c>
      <c r="D249" s="5" t="n">
        <v>33.8</v>
      </c>
      <c r="E249" s="9">
        <f>D249+1.5</f>
        <v/>
      </c>
      <c r="F249" s="9">
        <f>D249-1.5</f>
        <v/>
      </c>
      <c r="G249" s="25" t="n">
        <v>34.38</v>
      </c>
      <c r="H249" s="6">
        <f>IF(OR(K249&gt;E249,K249&lt;F249),"FAIL","PASS")</f>
        <v/>
      </c>
      <c r="I249" s="7">
        <f>IF(G249&gt;300,G249-360-D249,G249-D249)</f>
        <v/>
      </c>
      <c r="J249" s="8">
        <f>IF(G249&gt;300,G249-360,0)</f>
        <v/>
      </c>
      <c r="K249" s="8">
        <f>IF(J249=0,G249,J249)</f>
        <v/>
      </c>
    </row>
    <row r="250" ht="15" customHeight="1">
      <c r="A250" s="12" t="n">
        <v>125</v>
      </c>
      <c r="B250" s="12" t="n">
        <v>287</v>
      </c>
      <c r="C250" s="12" t="n">
        <v>124</v>
      </c>
      <c r="D250" s="5" t="n">
        <v>34.6</v>
      </c>
      <c r="E250" s="9">
        <f>D250+1.5</f>
        <v/>
      </c>
      <c r="F250" s="9">
        <f>D250-1.5</f>
        <v/>
      </c>
      <c r="G250" s="25" t="n">
        <v>35.16</v>
      </c>
      <c r="H250" s="6">
        <f>IF(OR(K250&gt;E250,K250&lt;F250),"FAIL","PASS")</f>
        <v/>
      </c>
      <c r="I250" s="7">
        <f>IF(G250&gt;300,G250-360-D250,G250-D250)</f>
        <v/>
      </c>
      <c r="J250" s="8">
        <f>IF(G250&gt;300,G250-360,0)</f>
        <v/>
      </c>
      <c r="K250" s="8">
        <f>IF(J250=0,G250,J250)</f>
        <v/>
      </c>
    </row>
    <row r="251" ht="15" customHeight="1">
      <c r="A251" s="12" t="n">
        <v>124</v>
      </c>
      <c r="B251" s="12" t="n">
        <v>284</v>
      </c>
      <c r="C251" s="12" t="n">
        <v>312</v>
      </c>
      <c r="D251" s="5" t="n">
        <v>35.24</v>
      </c>
      <c r="E251" s="9">
        <f>D251+1.5</f>
        <v/>
      </c>
      <c r="F251" s="9">
        <f>D251-1.5</f>
        <v/>
      </c>
      <c r="G251" s="25" t="n">
        <v>35.81</v>
      </c>
      <c r="H251" s="6">
        <f>IF(OR(K251&gt;E251,K251&lt;F251),"FAIL","PASS")</f>
        <v/>
      </c>
      <c r="I251" s="7">
        <f>IF(G251&gt;300,G251-360-D251,G251-D251)</f>
        <v/>
      </c>
      <c r="J251" s="8">
        <f>IF(G251&gt;300,G251-360,0)</f>
        <v/>
      </c>
      <c r="K251" s="8">
        <f>IF(J251=0,G251,J251)</f>
        <v/>
      </c>
    </row>
    <row r="252" ht="15" customHeight="1">
      <c r="A252" s="12" t="n">
        <v>123</v>
      </c>
      <c r="B252" s="12" t="n">
        <v>282</v>
      </c>
      <c r="C252" s="12" t="n">
        <v>140</v>
      </c>
      <c r="D252" s="5" t="n">
        <v>35.79</v>
      </c>
      <c r="E252" s="9">
        <f>D252+1.5</f>
        <v/>
      </c>
      <c r="F252" s="9">
        <f>D252-1.5</f>
        <v/>
      </c>
      <c r="G252" s="25" t="n">
        <v>36.36</v>
      </c>
      <c r="H252" s="6">
        <f>IF(OR(K252&gt;E252,K252&lt;F252),"FAIL","PASS")</f>
        <v/>
      </c>
      <c r="I252" s="7">
        <f>IF(G252&gt;300,G252-360-D252,G252-D252)</f>
        <v/>
      </c>
      <c r="J252" s="8">
        <f>IF(G252&gt;300,G252-360,0)</f>
        <v/>
      </c>
      <c r="K252" s="8">
        <f>IF(J252=0,G252,J252)</f>
        <v/>
      </c>
    </row>
    <row r="253" ht="15" customHeight="1">
      <c r="A253" s="12" t="n">
        <v>122</v>
      </c>
      <c r="B253" s="12" t="n">
        <v>279</v>
      </c>
      <c r="C253" s="12" t="n">
        <v>328</v>
      </c>
      <c r="D253" s="5" t="n">
        <v>36.37</v>
      </c>
      <c r="E253" s="9">
        <f>D253+1.5</f>
        <v/>
      </c>
      <c r="F253" s="9">
        <f>D253-1.5</f>
        <v/>
      </c>
      <c r="G253" s="25" t="n">
        <v>36.77</v>
      </c>
      <c r="H253" s="6">
        <f>IF(OR(K253&gt;E253,K253&lt;F253),"FAIL","PASS")</f>
        <v/>
      </c>
      <c r="I253" s="7">
        <f>IF(G253&gt;300,G253-360-D253,G253-D253)</f>
        <v/>
      </c>
      <c r="J253" s="8">
        <f>IF(G253&gt;300,G253-360,0)</f>
        <v/>
      </c>
      <c r="K253" s="8">
        <f>IF(J253=0,G253,J253)</f>
        <v/>
      </c>
    </row>
    <row r="254" ht="15" customHeight="1">
      <c r="A254" s="12" t="n">
        <v>121</v>
      </c>
      <c r="B254" s="12" t="n">
        <v>276</v>
      </c>
      <c r="C254" s="12" t="n">
        <v>238</v>
      </c>
      <c r="D254" s="5" t="n">
        <v>37</v>
      </c>
      <c r="E254" s="9">
        <f>D254+1.5</f>
        <v/>
      </c>
      <c r="F254" s="9">
        <f>D254-1.5</f>
        <v/>
      </c>
      <c r="G254" s="25" t="n">
        <v>37.37</v>
      </c>
      <c r="H254" s="6">
        <f>IF(OR(K254&gt;E254,K254&lt;F254),"FAIL","PASS")</f>
        <v/>
      </c>
      <c r="I254" s="7">
        <f>IF(G254&gt;300,G254-360-D254,G254-D254)</f>
        <v/>
      </c>
      <c r="J254" s="8">
        <f>IF(G254&gt;300,G254-360,0)</f>
        <v/>
      </c>
      <c r="K254" s="8">
        <f>IF(J254=0,G254,J254)</f>
        <v/>
      </c>
    </row>
    <row r="255" ht="15" customHeight="1">
      <c r="A255" s="12" t="n">
        <v>120</v>
      </c>
      <c r="B255" s="12" t="n">
        <v>277</v>
      </c>
      <c r="C255" s="12" t="n">
        <v>157</v>
      </c>
      <c r="D255" s="5" t="n">
        <v>37.78</v>
      </c>
      <c r="E255" s="9">
        <f>D255+1.5</f>
        <v/>
      </c>
      <c r="F255" s="9">
        <f>D255-1.5</f>
        <v/>
      </c>
      <c r="G255" s="25" t="n">
        <v>38.28</v>
      </c>
      <c r="H255" s="6">
        <f>IF(OR(K255&gt;E255,K255&lt;F255),"FAIL","PASS")</f>
        <v/>
      </c>
      <c r="I255" s="7">
        <f>IF(G255&gt;300,G255-360-D255,G255-D255)</f>
        <v/>
      </c>
      <c r="J255" s="8">
        <f>IF(G255&gt;300,G255-360,0)</f>
        <v/>
      </c>
      <c r="K255" s="8">
        <f>IF(J255=0,G255,J255)</f>
        <v/>
      </c>
    </row>
    <row r="256" ht="15" customHeight="1">
      <c r="A256" s="12" t="n">
        <v>119</v>
      </c>
      <c r="B256" s="12" t="n">
        <v>274</v>
      </c>
      <c r="C256" s="12" t="n">
        <v>345</v>
      </c>
      <c r="D256" s="5" t="n">
        <v>40.14</v>
      </c>
      <c r="E256" s="9">
        <f>D256+1.5</f>
        <v/>
      </c>
      <c r="F256" s="9">
        <f>D256-1.5</f>
        <v/>
      </c>
      <c r="G256" s="25" t="n">
        <v>40.9</v>
      </c>
      <c r="H256" s="6">
        <f>IF(OR(K256&gt;E256,K256&lt;F256),"FAIL","PASS")</f>
        <v/>
      </c>
      <c r="I256" s="7">
        <f>IF(G256&gt;300,G256-360-D256,G256-D256)</f>
        <v/>
      </c>
      <c r="J256" s="8">
        <f>IF(G256&gt;300,G256-360,0)</f>
        <v/>
      </c>
      <c r="K256" s="8">
        <f>IF(J256=0,G256,J256)</f>
        <v/>
      </c>
    </row>
    <row r="257" ht="15" customHeight="1">
      <c r="A257" s="12" t="n">
        <v>118</v>
      </c>
      <c r="B257" s="12" t="n">
        <v>272</v>
      </c>
      <c r="C257" s="12" t="n">
        <v>173</v>
      </c>
      <c r="D257" s="5" t="n">
        <v>42.8</v>
      </c>
      <c r="E257" s="9">
        <f>D257+1.5</f>
        <v/>
      </c>
      <c r="F257" s="9">
        <f>D257-1.5</f>
        <v/>
      </c>
      <c r="G257" s="25" t="n">
        <v>43.46</v>
      </c>
      <c r="H257" s="6">
        <f>IF(OR(K257&gt;E257,K257&lt;F257),"FAIL","PASS")</f>
        <v/>
      </c>
      <c r="I257" s="7">
        <f>IF(G257&gt;300,G257-360-D257,G257-D257)</f>
        <v/>
      </c>
      <c r="J257" s="8">
        <f>IF(G257&gt;300,G257-360,0)</f>
        <v/>
      </c>
      <c r="K257" s="8">
        <f>IF(J257=0,G257,J257)</f>
        <v/>
      </c>
    </row>
    <row r="258" ht="15" customHeight="1">
      <c r="A258" s="15" t="n">
        <v>117</v>
      </c>
      <c r="B258" s="12" t="n">
        <v>270</v>
      </c>
      <c r="C258" s="12" t="n">
        <v>1</v>
      </c>
      <c r="D258" s="5" t="n">
        <v>45.53</v>
      </c>
      <c r="E258" s="9">
        <f>D258+1.5</f>
        <v/>
      </c>
      <c r="F258" s="9">
        <f>D258-1.5</f>
        <v/>
      </c>
      <c r="G258" s="25" t="n">
        <v>46.17</v>
      </c>
      <c r="H258" s="6">
        <f>IF(OR(K258&gt;E258,K258&lt;F258),"FAIL","PASS")</f>
        <v/>
      </c>
      <c r="I258" s="7">
        <f>IF(G258&gt;300,G258-360-D258,G258-D258)</f>
        <v/>
      </c>
      <c r="J258" s="8">
        <f>IF(G258&gt;300,G258-360,0)</f>
        <v/>
      </c>
      <c r="K258" s="8">
        <f>IF(J258=0,G258,J258)</f>
        <v/>
      </c>
    </row>
    <row r="259" ht="15" customHeight="1">
      <c r="A259" s="12" t="n">
        <v>116</v>
      </c>
      <c r="B259" s="12" t="n">
        <v>267</v>
      </c>
      <c r="C259" s="12" t="n">
        <v>190</v>
      </c>
      <c r="D259" s="5" t="n">
        <v>48.71</v>
      </c>
      <c r="E259" s="9">
        <f>D259+1.5</f>
        <v/>
      </c>
      <c r="F259" s="9">
        <f>D259-1.5</f>
        <v/>
      </c>
      <c r="G259" s="25" t="n">
        <v>49.41</v>
      </c>
      <c r="H259" s="6">
        <f>IF(OR(K259&gt;E259,K259&lt;F259),"FAIL","PASS")</f>
        <v/>
      </c>
      <c r="I259" s="7">
        <f>IF(G259&gt;300,G259-360-D259,G259-D259)</f>
        <v/>
      </c>
      <c r="J259" s="8">
        <f>IF(G259&gt;300,G259-360,0)</f>
        <v/>
      </c>
      <c r="K259" s="8">
        <f>IF(J259=0,G259,J259)</f>
        <v/>
      </c>
    </row>
    <row r="260" ht="15" customHeight="1">
      <c r="A260" s="12" t="n">
        <v>115</v>
      </c>
      <c r="B260" s="12" t="n">
        <v>265</v>
      </c>
      <c r="C260" s="12" t="n">
        <v>18</v>
      </c>
      <c r="D260" s="5" t="n">
        <v>52.21</v>
      </c>
      <c r="E260" s="9">
        <f>D260+1.5</f>
        <v/>
      </c>
      <c r="F260" s="9">
        <f>D260-1.5</f>
        <v/>
      </c>
      <c r="G260" s="25" t="n">
        <v>52.89</v>
      </c>
      <c r="H260" s="6">
        <f>IF(OR(K260&gt;E260,K260&lt;F260),"FAIL","PASS")</f>
        <v/>
      </c>
      <c r="I260" s="7">
        <f>IF(G260&gt;300,G260-360-D260,G260-D260)</f>
        <v/>
      </c>
      <c r="J260" s="8">
        <f>IF(G260&gt;300,G260-360,0)</f>
        <v/>
      </c>
      <c r="K260" s="8">
        <f>IF(J260=0,G260,J260)</f>
        <v/>
      </c>
    </row>
    <row r="261" ht="15" customHeight="1">
      <c r="A261" s="12" t="n">
        <v>114</v>
      </c>
      <c r="B261" s="12" t="n">
        <v>262</v>
      </c>
      <c r="C261" s="12" t="n">
        <v>206</v>
      </c>
      <c r="D261" s="5" t="n">
        <v>55.54</v>
      </c>
      <c r="E261" s="9">
        <f>D261+1.5</f>
        <v/>
      </c>
      <c r="F261" s="9">
        <f>D261-1.5</f>
        <v/>
      </c>
      <c r="G261" s="25" t="n">
        <v>56.14</v>
      </c>
      <c r="H261" s="6">
        <f>IF(OR(K261&gt;E261,K261&lt;F261),"FAIL","PASS")</f>
        <v/>
      </c>
      <c r="I261" s="7">
        <f>IF(G261&gt;300,G261-360-D261,G261-D261)</f>
        <v/>
      </c>
      <c r="J261" s="8">
        <f>IF(G261&gt;300,G261-360,0)</f>
        <v/>
      </c>
      <c r="K261" s="8">
        <f>IF(J261=0,G261,J261)</f>
        <v/>
      </c>
    </row>
    <row r="262" ht="15" customHeight="1">
      <c r="A262" s="12" t="n">
        <v>113</v>
      </c>
      <c r="B262" s="12" t="n">
        <v>260</v>
      </c>
      <c r="C262" s="12" t="n">
        <v>34</v>
      </c>
      <c r="D262" s="5" t="n">
        <v>58.76</v>
      </c>
      <c r="E262" s="9">
        <f>D262+1.5</f>
        <v/>
      </c>
      <c r="F262" s="9">
        <f>D262-1.5</f>
        <v/>
      </c>
      <c r="G262" s="25" t="n">
        <v>59.26</v>
      </c>
      <c r="H262" s="6">
        <f>IF(OR(K262&gt;E262,K262&lt;F262),"FAIL","PASS")</f>
        <v/>
      </c>
      <c r="I262" s="7">
        <f>IF(G262&gt;300,G262-360-D262,G262-D262)</f>
        <v/>
      </c>
      <c r="J262" s="8">
        <f>IF(G262&gt;300,G262-360,0)</f>
        <v/>
      </c>
      <c r="K262" s="8">
        <f>IF(J262=0,G262,J262)</f>
        <v/>
      </c>
    </row>
    <row r="263" ht="15" customHeight="1">
      <c r="A263" s="12" t="n">
        <v>112</v>
      </c>
      <c r="B263" s="12" t="n">
        <v>257</v>
      </c>
      <c r="C263" s="12" t="n">
        <v>223</v>
      </c>
      <c r="D263" s="5" t="n">
        <v>61.54</v>
      </c>
      <c r="E263" s="9">
        <f>D263+1.5</f>
        <v/>
      </c>
      <c r="F263" s="9">
        <f>D263-1.5</f>
        <v/>
      </c>
      <c r="G263" s="25" t="n">
        <v>62.03</v>
      </c>
      <c r="H263" s="6">
        <f>IF(OR(K263&gt;E263,K263&lt;F263),"FAIL","PASS")</f>
        <v/>
      </c>
      <c r="I263" s="7">
        <f>IF(G263&gt;300,G263-360-D263,G263-D263)</f>
        <v/>
      </c>
      <c r="J263" s="8">
        <f>IF(G263&gt;300,G263-360,0)</f>
        <v/>
      </c>
      <c r="K263" s="8">
        <f>IF(J263=0,G263,J263)</f>
        <v/>
      </c>
    </row>
    <row r="264" ht="15" customHeight="1">
      <c r="A264" s="12" t="n">
        <v>111</v>
      </c>
      <c r="B264" s="12" t="n">
        <v>255</v>
      </c>
      <c r="C264" s="12" t="n">
        <v>51</v>
      </c>
      <c r="D264" s="5" t="n">
        <v>64.09999999999999</v>
      </c>
      <c r="E264" s="9">
        <f>D264+1.5</f>
        <v/>
      </c>
      <c r="F264" s="9">
        <f>D264-1.5</f>
        <v/>
      </c>
      <c r="G264" s="25" t="n">
        <v>64.54000000000001</v>
      </c>
      <c r="H264" s="6">
        <f>IF(OR(K264&gt;E264,K264&lt;F264),"FAIL","PASS")</f>
        <v/>
      </c>
      <c r="I264" s="7">
        <f>IF(G264&gt;300,G264-360-D264,G264-D264)</f>
        <v/>
      </c>
      <c r="J264" s="8">
        <f>IF(G264&gt;300,G264-360,0)</f>
        <v/>
      </c>
      <c r="K264" s="8">
        <f>IF(J264=0,G264,J264)</f>
        <v/>
      </c>
    </row>
    <row r="265" ht="15" customHeight="1">
      <c r="A265" s="12" t="n">
        <v>110</v>
      </c>
      <c r="B265" s="12" t="n">
        <v>252</v>
      </c>
      <c r="C265" s="12" t="n">
        <v>239</v>
      </c>
      <c r="D265" s="5" t="n">
        <v>66.64</v>
      </c>
      <c r="E265" s="9">
        <f>D265+1.5</f>
        <v/>
      </c>
      <c r="F265" s="9">
        <f>D265-1.5</f>
        <v/>
      </c>
      <c r="G265" s="25" t="n">
        <v>67.06999999999999</v>
      </c>
      <c r="H265" s="6">
        <f>IF(OR(K265&gt;E265,K265&lt;F265),"FAIL","PASS")</f>
        <v/>
      </c>
      <c r="I265" s="7">
        <f>IF(G265&gt;300,G265-360-D265,G265-D265)</f>
        <v/>
      </c>
      <c r="J265" s="8">
        <f>IF(G265&gt;300,G265-360,0)</f>
        <v/>
      </c>
      <c r="K265" s="8">
        <f>IF(J265=0,G265,J265)</f>
        <v/>
      </c>
    </row>
    <row r="266" ht="15" customHeight="1">
      <c r="A266" s="12" t="n">
        <v>109</v>
      </c>
      <c r="B266" s="12" t="n">
        <v>250</v>
      </c>
      <c r="C266" s="12" t="n">
        <v>67</v>
      </c>
      <c r="D266" s="5" t="n">
        <v>69.14</v>
      </c>
      <c r="E266" s="9">
        <f>D266+1.5</f>
        <v/>
      </c>
      <c r="F266" s="9">
        <f>D266-1.5</f>
        <v/>
      </c>
      <c r="G266" s="25" t="n">
        <v>69.54000000000001</v>
      </c>
      <c r="H266" s="6">
        <f>IF(OR(K266&gt;E266,K266&lt;F266),"FAIL","PASS")</f>
        <v/>
      </c>
      <c r="I266" s="7">
        <f>IF(G266&gt;300,G266-360-D266,G266-D266)</f>
        <v/>
      </c>
      <c r="J266" s="8">
        <f>IF(G266&gt;300,G266-360,0)</f>
        <v/>
      </c>
      <c r="K266" s="8">
        <f>IF(J266=0,G266,J266)</f>
        <v/>
      </c>
    </row>
    <row r="267" ht="15" customHeight="1">
      <c r="A267" s="12" t="n">
        <v>108</v>
      </c>
      <c r="B267" s="12" t="n">
        <v>247</v>
      </c>
      <c r="C267" s="12" t="n">
        <v>256</v>
      </c>
      <c r="D267" s="5" t="n">
        <v>71.59</v>
      </c>
      <c r="E267" s="9">
        <f>D267+1.5</f>
        <v/>
      </c>
      <c r="F267" s="9">
        <f>D267-1.5</f>
        <v/>
      </c>
      <c r="G267" s="25" t="n">
        <v>72</v>
      </c>
      <c r="H267" s="6">
        <f>IF(OR(K267&gt;E267,K267&lt;F267),"FAIL","PASS")</f>
        <v/>
      </c>
      <c r="I267" s="7">
        <f>IF(G267&gt;300,G267-360-D267,G267-D267)</f>
        <v/>
      </c>
      <c r="J267" s="8">
        <f>IF(G267&gt;300,G267-360,0)</f>
        <v/>
      </c>
      <c r="K267" s="8">
        <f>IF(J267=0,G267,J267)</f>
        <v/>
      </c>
    </row>
    <row r="268" ht="15" customHeight="1">
      <c r="A268" s="12" t="n">
        <v>107</v>
      </c>
      <c r="B268" s="12" t="n">
        <v>245</v>
      </c>
      <c r="C268" s="12" t="n">
        <v>84</v>
      </c>
      <c r="D268" s="5" t="n">
        <v>74.06</v>
      </c>
      <c r="E268" s="9">
        <f>D268+1.5</f>
        <v/>
      </c>
      <c r="F268" s="9">
        <f>D268-1.5</f>
        <v/>
      </c>
      <c r="G268" s="25" t="n">
        <v>74.45</v>
      </c>
      <c r="H268" s="6">
        <f>IF(OR(K268&gt;E268,K268&lt;F268),"FAIL","PASS")</f>
        <v/>
      </c>
      <c r="I268" s="7">
        <f>IF(G268&gt;300,G268-360-D268,G268-D268)</f>
        <v/>
      </c>
      <c r="J268" s="8">
        <f>IF(G268&gt;300,G268-360,0)</f>
        <v/>
      </c>
      <c r="K268" s="8">
        <f>IF(J268=0,G268,J268)</f>
        <v/>
      </c>
    </row>
    <row r="269" ht="15" customHeight="1">
      <c r="A269" s="12" t="n">
        <v>106</v>
      </c>
      <c r="B269" s="12" t="n">
        <v>243</v>
      </c>
      <c r="C269" s="12" t="n">
        <v>74</v>
      </c>
      <c r="D269" s="5" t="n">
        <v>76</v>
      </c>
      <c r="E269" s="9">
        <f>D269+1.5</f>
        <v/>
      </c>
      <c r="F269" s="9">
        <f>D269-1.5</f>
        <v/>
      </c>
      <c r="G269" s="25" t="n">
        <v>76.5</v>
      </c>
      <c r="H269" s="6">
        <f>IF(OR(K269&gt;E269,K269&lt;F269),"FAIL","PASS")</f>
        <v/>
      </c>
      <c r="I269" s="7">
        <f>IF(G269&gt;300,G269-360-D269,G269-D269)</f>
        <v/>
      </c>
      <c r="J269" s="8">
        <f>IF(G269&gt;300,G269-360,0)</f>
        <v/>
      </c>
      <c r="K269" s="8">
        <f>IF(J269=0,G269,J269)</f>
        <v/>
      </c>
    </row>
    <row r="270" ht="15" customHeight="1">
      <c r="A270" s="12" t="n">
        <v>105</v>
      </c>
      <c r="B270" s="15" t="n">
        <v>242</v>
      </c>
      <c r="C270" s="11" t="n">
        <v>272</v>
      </c>
      <c r="D270" s="5" t="n">
        <v>76.54000000000001</v>
      </c>
      <c r="E270" s="9">
        <f>D270+1.5</f>
        <v/>
      </c>
      <c r="F270" s="9">
        <f>D270-1.5</f>
        <v/>
      </c>
      <c r="G270" s="25" t="n">
        <v>76.92</v>
      </c>
      <c r="H270" s="6">
        <f>IF(OR(K270&gt;E270,K270&lt;F270),"FAIL","PASS")</f>
        <v/>
      </c>
      <c r="I270" s="7">
        <f>IF(G270&gt;300,G270-360-D270,G270-D270)</f>
        <v/>
      </c>
      <c r="J270" s="8">
        <f>IF(G270&gt;300,G270-360,0)</f>
        <v/>
      </c>
      <c r="K270" s="8">
        <f>IF(J270=0,G270,J270)</f>
        <v/>
      </c>
    </row>
    <row r="271" ht="15" customHeight="1">
      <c r="A271" s="12" t="n">
        <v>104</v>
      </c>
      <c r="B271" s="12" t="n">
        <v>240</v>
      </c>
      <c r="C271" s="12" t="n">
        <v>100</v>
      </c>
      <c r="D271" s="5" t="n">
        <v>78.87</v>
      </c>
      <c r="E271" s="9">
        <f>D271+1.5</f>
        <v/>
      </c>
      <c r="F271" s="9">
        <f>D271-1.5</f>
        <v/>
      </c>
      <c r="G271" s="25" t="n">
        <v>79.19</v>
      </c>
      <c r="H271" s="6">
        <f>IF(OR(K271&gt;E271,K271&lt;F271),"FAIL","PASS")</f>
        <v/>
      </c>
      <c r="I271" s="7">
        <f>IF(G271&gt;300,G271-360-D271,G271-D271)</f>
        <v/>
      </c>
      <c r="J271" s="8">
        <f>IF(G271&gt;300,G271-360,0)</f>
        <v/>
      </c>
      <c r="K271" s="8">
        <f>IF(J271=0,G271,J271)</f>
        <v/>
      </c>
    </row>
    <row r="272" ht="15" customHeight="1">
      <c r="A272" s="12" t="n">
        <v>103</v>
      </c>
      <c r="B272" s="12" t="n">
        <v>237</v>
      </c>
      <c r="C272" s="12" t="n">
        <v>289</v>
      </c>
      <c r="D272" s="5" t="n">
        <v>81.28</v>
      </c>
      <c r="E272" s="9">
        <f>D272+1.5</f>
        <v/>
      </c>
      <c r="F272" s="9">
        <f>D272-1.5</f>
        <v/>
      </c>
      <c r="G272" s="25" t="n">
        <v>81.73</v>
      </c>
      <c r="H272" s="6">
        <f>IF(OR(K272&gt;E272,K272&lt;F272),"FAIL","PASS")</f>
        <v/>
      </c>
      <c r="I272" s="7">
        <f>IF(G272&gt;300,G272-360-D272,G272-D272)</f>
        <v/>
      </c>
      <c r="J272" s="8">
        <f>IF(G272&gt;300,G272-360,0)</f>
        <v/>
      </c>
      <c r="K272" s="8">
        <f>IF(J272=0,G272,J272)</f>
        <v/>
      </c>
    </row>
    <row r="273" ht="15" customHeight="1">
      <c r="A273" s="12" t="n">
        <v>102</v>
      </c>
      <c r="B273" s="12" t="n">
        <v>235</v>
      </c>
      <c r="C273" s="12" t="n">
        <v>117</v>
      </c>
      <c r="D273" s="5" t="n">
        <v>83.73999999999999</v>
      </c>
      <c r="E273" s="9">
        <f>D273+1.5</f>
        <v/>
      </c>
      <c r="F273" s="9">
        <f>D273-1.5</f>
        <v/>
      </c>
      <c r="G273" s="25" t="n">
        <v>84.17</v>
      </c>
      <c r="H273" s="6">
        <f>IF(OR(K273&gt;E273,K273&lt;F273),"FAIL","PASS")</f>
        <v/>
      </c>
      <c r="I273" s="7">
        <f>IF(G273&gt;300,G273-360-D273,G273-D273)</f>
        <v/>
      </c>
      <c r="J273" s="8">
        <f>IF(G273&gt;300,G273-360,0)</f>
        <v/>
      </c>
      <c r="K273" s="8">
        <f>IF(J273=0,G273,J273)</f>
        <v/>
      </c>
    </row>
    <row r="274" ht="15" customHeight="1">
      <c r="A274" s="12" t="n">
        <v>101</v>
      </c>
      <c r="B274" s="12" t="n">
        <v>232</v>
      </c>
      <c r="C274" s="12" t="n">
        <v>305</v>
      </c>
      <c r="D274" s="5" t="n">
        <v>86.11</v>
      </c>
      <c r="E274" s="9">
        <f>D274+1.5</f>
        <v/>
      </c>
      <c r="F274" s="9">
        <f>D274-1.5</f>
        <v/>
      </c>
      <c r="G274" s="25" t="n">
        <v>86.56999999999999</v>
      </c>
      <c r="H274" s="6">
        <f>IF(OR(K274&gt;E274,K274&lt;F274),"FAIL","PASS")</f>
        <v/>
      </c>
      <c r="I274" s="7">
        <f>IF(G274&gt;300,G274-360-D274,G274-D274)</f>
        <v/>
      </c>
      <c r="J274" s="8">
        <f>IF(G274&gt;300,G274-360,0)</f>
        <v/>
      </c>
      <c r="K274" s="8">
        <f>IF(J274=0,G274,J274)</f>
        <v/>
      </c>
    </row>
    <row r="275" ht="15" customHeight="1">
      <c r="A275" s="12" t="n">
        <v>100</v>
      </c>
      <c r="B275" s="12" t="n">
        <v>230</v>
      </c>
      <c r="C275" s="12" t="n">
        <v>133</v>
      </c>
      <c r="D275" s="5" t="n">
        <v>88.62</v>
      </c>
      <c r="E275" s="9">
        <f>D275+1.5</f>
        <v/>
      </c>
      <c r="F275" s="9">
        <f>D275-1.5</f>
        <v/>
      </c>
      <c r="G275" s="25" t="n">
        <v>89.06</v>
      </c>
      <c r="H275" s="6">
        <f>IF(OR(K275&gt;E275,K275&lt;F275),"FAIL","PASS")</f>
        <v/>
      </c>
      <c r="I275" s="7">
        <f>IF(G275&gt;300,G275-360-D275,G275-D275)</f>
        <v/>
      </c>
      <c r="J275" s="8">
        <f>IF(G275&gt;300,G275-360,0)</f>
        <v/>
      </c>
      <c r="K275" s="8">
        <f>IF(J275=0,G275,J275)</f>
        <v/>
      </c>
    </row>
    <row r="276" ht="15" customHeight="1">
      <c r="A276" s="12" t="n">
        <v>99</v>
      </c>
      <c r="B276" s="12" t="n">
        <v>227</v>
      </c>
      <c r="C276" s="12" t="n">
        <v>322</v>
      </c>
      <c r="D276" s="5" t="n">
        <v>91.36</v>
      </c>
      <c r="E276" s="9">
        <f>D276+1.5</f>
        <v/>
      </c>
      <c r="F276" s="9">
        <f>D276-1.5</f>
        <v/>
      </c>
      <c r="G276" s="25" t="n">
        <v>91.78</v>
      </c>
      <c r="H276" s="6">
        <f>IF(OR(K276&gt;E276,K276&lt;F276),"FAIL","PASS")</f>
        <v/>
      </c>
      <c r="I276" s="7">
        <f>IF(G276&gt;300,G276-360-D276,G276-D276)</f>
        <v/>
      </c>
      <c r="J276" s="8">
        <f>IF(G276&gt;300,G276-360,0)</f>
        <v/>
      </c>
      <c r="K276" s="8">
        <f>IF(J276=0,G276,J276)</f>
        <v/>
      </c>
    </row>
    <row r="277" ht="15" customHeight="1">
      <c r="A277" s="12" t="n">
        <v>98</v>
      </c>
      <c r="B277" s="12" t="n">
        <v>225</v>
      </c>
      <c r="C277" s="12" t="n">
        <v>150</v>
      </c>
      <c r="D277" s="5" t="n">
        <v>94.2</v>
      </c>
      <c r="E277" s="9">
        <f>D277+1.5</f>
        <v/>
      </c>
      <c r="F277" s="9">
        <f>D277-1.5</f>
        <v/>
      </c>
      <c r="G277" s="25" t="n">
        <v>94.58</v>
      </c>
      <c r="H277" s="6">
        <f>IF(OR(K277&gt;E277,K277&lt;F277),"FAIL","PASS")</f>
        <v/>
      </c>
      <c r="I277" s="7">
        <f>IF(G277&gt;300,G277-360-D277,G277-D277)</f>
        <v/>
      </c>
      <c r="J277" s="8">
        <f>IF(G277&gt;300,G277-360,0)</f>
        <v/>
      </c>
      <c r="K277" s="8">
        <f>IF(J277=0,G277,J277)</f>
        <v/>
      </c>
    </row>
    <row r="278" ht="15" customHeight="1">
      <c r="A278" s="12" t="n">
        <v>97</v>
      </c>
      <c r="B278" s="12" t="n">
        <v>222</v>
      </c>
      <c r="C278" s="12" t="n">
        <v>338</v>
      </c>
      <c r="D278" s="5" t="n">
        <v>96.90000000000001</v>
      </c>
      <c r="E278" s="9">
        <f>D278+1.5</f>
        <v/>
      </c>
      <c r="F278" s="9">
        <f>D278-1.5</f>
        <v/>
      </c>
      <c r="G278" s="25" t="n">
        <v>97.26000000000001</v>
      </c>
      <c r="H278" s="6">
        <f>IF(OR(K278&gt;E278,K278&lt;F278),"FAIL","PASS")</f>
        <v/>
      </c>
      <c r="I278" s="7">
        <f>IF(G278&gt;300,G278-360-D278,G278-D278)</f>
        <v/>
      </c>
      <c r="J278" s="8">
        <f>IF(G278&gt;300,G278-360,0)</f>
        <v/>
      </c>
      <c r="K278" s="8">
        <f>IF(J278=0,G278,J278)</f>
        <v/>
      </c>
    </row>
    <row r="279" ht="15" customHeight="1">
      <c r="A279" s="12" t="n">
        <v>96</v>
      </c>
      <c r="B279" s="12" t="n">
        <v>220</v>
      </c>
      <c r="C279" s="12" t="n">
        <v>166</v>
      </c>
      <c r="D279" s="5" t="n">
        <v>99.62</v>
      </c>
      <c r="E279" s="9">
        <f>D279+1.5</f>
        <v/>
      </c>
      <c r="F279" s="9">
        <f>D279-1.5</f>
        <v/>
      </c>
      <c r="G279" s="25" t="n">
        <v>100.25</v>
      </c>
      <c r="H279" s="6">
        <f>IF(OR(K279&gt;E279,K279&lt;F279),"FAIL","PASS")</f>
        <v/>
      </c>
      <c r="I279" s="7">
        <f>IF(G279&gt;300,G279-360-D279,G279-D279)</f>
        <v/>
      </c>
      <c r="J279" s="8">
        <f>IF(G279&gt;300,G279-360,0)</f>
        <v/>
      </c>
      <c r="K279" s="8">
        <f>IF(J279=0,G279,J279)</f>
        <v/>
      </c>
    </row>
    <row r="280" ht="15" customHeight="1">
      <c r="A280" s="12" t="n">
        <v>95</v>
      </c>
      <c r="B280" s="12" t="n">
        <v>217</v>
      </c>
      <c r="C280" s="12" t="n">
        <v>355</v>
      </c>
      <c r="D280" s="5" t="n">
        <v>102.3</v>
      </c>
      <c r="E280" s="9">
        <f>D280+1.5</f>
        <v/>
      </c>
      <c r="F280" s="9">
        <f>D280-1.5</f>
        <v/>
      </c>
      <c r="G280" s="25" t="n">
        <v>102.65</v>
      </c>
      <c r="H280" s="6">
        <f>IF(OR(K280&gt;E280,K280&lt;F280),"FAIL","PASS")</f>
        <v/>
      </c>
      <c r="I280" s="7">
        <f>IF(G280&gt;300,G280-360-D280,G280-D280)</f>
        <v/>
      </c>
      <c r="J280" s="8">
        <f>IF(G280&gt;300,G280-360,0)</f>
        <v/>
      </c>
      <c r="K280" s="8">
        <f>IF(J280=0,G280,J280)</f>
        <v/>
      </c>
    </row>
    <row r="281" ht="15" customHeight="1">
      <c r="A281" s="12" t="n">
        <v>94</v>
      </c>
      <c r="B281" s="15" t="n">
        <v>215</v>
      </c>
      <c r="C281" s="12" t="n">
        <v>183</v>
      </c>
      <c r="D281" s="5" t="n">
        <v>104.97</v>
      </c>
      <c r="E281" s="9">
        <f>D281+1.5</f>
        <v/>
      </c>
      <c r="F281" s="9">
        <f>D281-1.5</f>
        <v/>
      </c>
      <c r="G281" s="25" t="n">
        <v>105.41</v>
      </c>
      <c r="H281" s="6">
        <f>IF(OR(K281&gt;E281,K281&lt;F281),"FAIL","PASS")</f>
        <v/>
      </c>
      <c r="I281" s="7">
        <f>IF(G281&gt;300,G281-360-D281,G281-D281)</f>
        <v/>
      </c>
      <c r="J281" s="8">
        <f>IF(G281&gt;300,G281-360,0)</f>
        <v/>
      </c>
      <c r="K281" s="8">
        <f>IF(J281=0,G281,J281)</f>
        <v/>
      </c>
    </row>
    <row r="282" ht="15" customHeight="1">
      <c r="A282" s="12" t="n">
        <v>93</v>
      </c>
      <c r="B282" s="12" t="n">
        <v>213</v>
      </c>
      <c r="C282" s="12" t="n">
        <v>11</v>
      </c>
      <c r="D282" s="5" t="n">
        <v>107.62</v>
      </c>
      <c r="E282" s="9">
        <f>D282+1.5</f>
        <v/>
      </c>
      <c r="F282" s="9">
        <f>D282-1.5</f>
        <v/>
      </c>
      <c r="G282" s="25" t="n">
        <v>108.23</v>
      </c>
      <c r="H282" s="6">
        <f>IF(OR(K282&gt;E282,K282&lt;F282),"FAIL","PASS")</f>
        <v/>
      </c>
      <c r="I282" s="7">
        <f>IF(G282&gt;300,G282-360-D282,G282-D282)</f>
        <v/>
      </c>
      <c r="J282" s="8">
        <f>IF(G282&gt;300,G282-360,0)</f>
        <v/>
      </c>
      <c r="K282" s="8">
        <f>IF(J282=0,G282,J282)</f>
        <v/>
      </c>
    </row>
    <row r="283" ht="15" customHeight="1">
      <c r="A283" s="12" t="n">
        <v>92</v>
      </c>
      <c r="B283" s="12" t="n">
        <v>210</v>
      </c>
      <c r="C283" s="12" t="n">
        <v>199</v>
      </c>
      <c r="D283" s="5" t="n">
        <v>110.26</v>
      </c>
      <c r="E283" s="9">
        <f>D283+1.5</f>
        <v/>
      </c>
      <c r="F283" s="9">
        <f>D283-1.5</f>
        <v/>
      </c>
      <c r="G283" s="25" t="n">
        <v>110.81</v>
      </c>
      <c r="H283" s="6">
        <f>IF(OR(K283&gt;E283,K283&lt;F283),"FAIL","PASS")</f>
        <v/>
      </c>
      <c r="I283" s="7">
        <f>IF(G283&gt;300,G283-360-D283,G283-D283)</f>
        <v/>
      </c>
      <c r="J283" s="8">
        <f>IF(G283&gt;300,G283-360,0)</f>
        <v/>
      </c>
      <c r="K283" s="8">
        <f>IF(J283=0,G283,J283)</f>
        <v/>
      </c>
    </row>
    <row r="284" ht="15" customHeight="1">
      <c r="A284" s="12" t="n">
        <v>91</v>
      </c>
      <c r="B284" s="12" t="n">
        <v>208</v>
      </c>
      <c r="C284" s="12" t="n">
        <v>28</v>
      </c>
      <c r="D284" s="5" t="n">
        <v>112.67</v>
      </c>
      <c r="E284" s="9">
        <f>D284+1.5</f>
        <v/>
      </c>
      <c r="F284" s="9">
        <f>D284-1.5</f>
        <v/>
      </c>
      <c r="G284" s="25" t="n">
        <v>113.25</v>
      </c>
      <c r="H284" s="6">
        <f>IF(OR(K284&gt;E284,K284&lt;F284),"FAIL","PASS")</f>
        <v/>
      </c>
      <c r="I284" s="7">
        <f>IF(G284&gt;300,G284-360-D284,G284-D284)</f>
        <v/>
      </c>
      <c r="J284" s="8">
        <f>IF(G284&gt;300,G284-360,0)</f>
        <v/>
      </c>
      <c r="K284" s="8">
        <f>IF(J284=0,G284,J284)</f>
        <v/>
      </c>
    </row>
    <row r="285" ht="15" customHeight="1">
      <c r="A285" s="12" t="n">
        <v>90</v>
      </c>
      <c r="B285" s="12" t="n">
        <v>207</v>
      </c>
      <c r="C285" s="12" t="n">
        <v>283</v>
      </c>
      <c r="D285" s="5" t="n">
        <v>113</v>
      </c>
      <c r="E285" s="9">
        <f>D285+1.5</f>
        <v/>
      </c>
      <c r="F285" s="9">
        <f>D285-1.5</f>
        <v/>
      </c>
      <c r="G285" s="25" t="n">
        <v>113.55</v>
      </c>
      <c r="H285" s="6">
        <f>IF(OR(K285&gt;E285,K285&lt;F285),"FAIL","PASS")</f>
        <v/>
      </c>
      <c r="I285" s="7">
        <f>IF(G285&gt;300,G285-360-D285,G285-D285)</f>
        <v/>
      </c>
      <c r="J285" s="8">
        <f>IF(G285&gt;300,G285-360,0)</f>
        <v/>
      </c>
      <c r="K285" s="8">
        <f>IF(J285=0,G285,J285)</f>
        <v/>
      </c>
    </row>
    <row r="286" ht="15" customHeight="1">
      <c r="A286" s="12" t="n">
        <v>89</v>
      </c>
      <c r="B286" s="12" t="n">
        <v>205</v>
      </c>
      <c r="C286" s="12" t="n">
        <v>216</v>
      </c>
      <c r="D286" s="5" t="n">
        <v>115.13</v>
      </c>
      <c r="E286" s="9">
        <f>D286+1.5</f>
        <v/>
      </c>
      <c r="F286" s="9">
        <f>D286-1.5</f>
        <v/>
      </c>
      <c r="G286" s="25" t="n">
        <v>115.65</v>
      </c>
      <c r="H286" s="6">
        <f>IF(OR(K286&gt;E286,K286&lt;F286),"FAIL","PASS")</f>
        <v/>
      </c>
      <c r="I286" s="7">
        <f>IF(G286&gt;300,G286-360-D286,G286-D286)</f>
        <v/>
      </c>
      <c r="J286" s="8">
        <f>IF(G286&gt;300,G286-360,0)</f>
        <v/>
      </c>
      <c r="K286" s="8">
        <f>IF(J286=0,G286,J286)</f>
        <v/>
      </c>
    </row>
    <row r="287" ht="15" customHeight="1">
      <c r="A287" s="12" t="n">
        <v>88</v>
      </c>
      <c r="B287" s="12" t="n">
        <v>203</v>
      </c>
      <c r="C287" s="12" t="n">
        <v>44</v>
      </c>
      <c r="D287" s="5" t="n">
        <v>117.51</v>
      </c>
      <c r="E287" s="9">
        <f>D287+1.5</f>
        <v/>
      </c>
      <c r="F287" s="9">
        <f>D287-1.5</f>
        <v/>
      </c>
      <c r="G287" s="25" t="n">
        <v>117.89</v>
      </c>
      <c r="H287" s="6">
        <f>IF(OR(K287&gt;E287,K287&lt;F287),"FAIL","PASS")</f>
        <v/>
      </c>
      <c r="I287" s="7">
        <f>IF(G287&gt;300,G287-360-D287,G287-D287)</f>
        <v/>
      </c>
      <c r="J287" s="8">
        <f>IF(G287&gt;300,G287-360,0)</f>
        <v/>
      </c>
      <c r="K287" s="8">
        <f>IF(J287=0,G287,J287)</f>
        <v/>
      </c>
    </row>
    <row r="288" ht="15" customHeight="1">
      <c r="A288" s="12" t="n">
        <v>87</v>
      </c>
      <c r="B288" s="12" t="n">
        <v>200</v>
      </c>
      <c r="C288" s="12" t="n">
        <v>252</v>
      </c>
      <c r="D288" s="5" t="n">
        <v>119.89</v>
      </c>
      <c r="E288" s="9">
        <f>D288+1.5</f>
        <v/>
      </c>
      <c r="F288" s="9">
        <f>D288-1.5</f>
        <v/>
      </c>
      <c r="G288" s="25" t="n">
        <v>120.23</v>
      </c>
      <c r="H288" s="6">
        <f>IF(OR(K288&gt;E288,K288&lt;F288),"FAIL","PASS")</f>
        <v/>
      </c>
      <c r="I288" s="7">
        <f>IF(G288&gt;300,G288-360-D288,G288-D288)</f>
        <v/>
      </c>
      <c r="J288" s="8">
        <f>IF(G288&gt;300,G288-360,0)</f>
        <v/>
      </c>
      <c r="K288" s="8">
        <f>IF(J288=0,G288,J288)</f>
        <v/>
      </c>
    </row>
    <row r="289" ht="15" customHeight="1">
      <c r="A289" s="12" t="n">
        <v>86</v>
      </c>
      <c r="B289" s="15" t="n">
        <v>198</v>
      </c>
      <c r="C289" s="12" t="n">
        <v>61</v>
      </c>
      <c r="D289" s="5" t="n">
        <v>122.28</v>
      </c>
      <c r="E289" s="9">
        <f>D289+1.5</f>
        <v/>
      </c>
      <c r="F289" s="9">
        <f>D289-1.5</f>
        <v/>
      </c>
      <c r="G289" s="25" t="n">
        <v>122.57</v>
      </c>
      <c r="H289" s="6">
        <f>IF(OR(K289&gt;E289,K289&lt;F289),"FAIL","PASS")</f>
        <v/>
      </c>
      <c r="I289" s="7">
        <f>IF(G289&gt;300,G289-360-D289,G289-D289)</f>
        <v/>
      </c>
      <c r="J289" s="8">
        <f>IF(G289&gt;300,G289-360,0)</f>
        <v/>
      </c>
      <c r="K289" s="8">
        <f>IF(J289=0,G289,J289)</f>
        <v/>
      </c>
    </row>
    <row r="290" ht="15" customHeight="1">
      <c r="A290" s="12" t="n">
        <v>85</v>
      </c>
      <c r="B290" s="12" t="n">
        <v>195</v>
      </c>
      <c r="C290" s="12" t="n">
        <v>249</v>
      </c>
      <c r="D290" s="5" t="n">
        <v>124.64</v>
      </c>
      <c r="E290" s="9">
        <f>D290+1.5</f>
        <v/>
      </c>
      <c r="F290" s="9">
        <f>D290-1.5</f>
        <v/>
      </c>
      <c r="G290" s="25" t="n">
        <v>124.87</v>
      </c>
      <c r="H290" s="6">
        <f>IF(OR(K290&gt;E290,K290&lt;F290),"FAIL","PASS")</f>
        <v/>
      </c>
      <c r="I290" s="7">
        <f>IF(G290&gt;300,G290-360-D290,G290-D290)</f>
        <v/>
      </c>
      <c r="J290" s="8">
        <f>IF(G290&gt;300,G290-360,0)</f>
        <v/>
      </c>
      <c r="K290" s="8">
        <f>IF(J290=0,G290,J290)</f>
        <v/>
      </c>
    </row>
    <row r="291" ht="15" customHeight="1">
      <c r="A291" s="12" t="n">
        <v>84</v>
      </c>
      <c r="B291" s="12" t="n">
        <v>193</v>
      </c>
      <c r="C291" s="12" t="n">
        <v>77</v>
      </c>
      <c r="D291" s="5" t="n">
        <v>126.99</v>
      </c>
      <c r="E291" s="9">
        <f>D291+1.5</f>
        <v/>
      </c>
      <c r="F291" s="9">
        <f>D291-1.5</f>
        <v/>
      </c>
      <c r="G291" s="25" t="n">
        <v>127.18</v>
      </c>
      <c r="H291" s="6">
        <f>IF(OR(K291&gt;E291,K291&lt;F291),"FAIL","PASS")</f>
        <v/>
      </c>
      <c r="I291" s="7">
        <f>IF(G291&gt;300,G291-360-D291,G291-D291)</f>
        <v/>
      </c>
      <c r="J291" s="8">
        <f>IF(G291&gt;300,G291-360,0)</f>
        <v/>
      </c>
      <c r="K291" s="8">
        <f>IF(J291=0,G291,J291)</f>
        <v/>
      </c>
    </row>
    <row r="292" ht="15" customHeight="1">
      <c r="A292" s="12" t="n">
        <v>83</v>
      </c>
      <c r="B292" s="12" t="n">
        <v>190</v>
      </c>
      <c r="C292" s="12" t="n">
        <v>265</v>
      </c>
      <c r="D292" s="5" t="n">
        <v>129.36</v>
      </c>
      <c r="E292" s="9">
        <f>D292+1.5</f>
        <v/>
      </c>
      <c r="F292" s="9">
        <f>D292-1.5</f>
        <v/>
      </c>
      <c r="G292" s="25" t="n">
        <v>129.52</v>
      </c>
      <c r="H292" s="6">
        <f>IF(OR(K292&gt;E292,K292&lt;F292),"FAIL","PASS")</f>
        <v/>
      </c>
      <c r="I292" s="7">
        <f>IF(G292&gt;300,G292-360-D292,G292-D292)</f>
        <v/>
      </c>
      <c r="J292" s="8">
        <f>IF(G292&gt;300,G292-360,0)</f>
        <v/>
      </c>
      <c r="K292" s="8">
        <f>IF(J292=0,G292,J292)</f>
        <v/>
      </c>
    </row>
    <row r="293" ht="15" customHeight="1">
      <c r="A293" s="12" t="n">
        <v>82</v>
      </c>
      <c r="B293" s="12" t="n">
        <v>188</v>
      </c>
      <c r="C293" s="12" t="n">
        <v>93</v>
      </c>
      <c r="D293" s="5" t="n">
        <v>131.75</v>
      </c>
      <c r="E293" s="9">
        <f>D293+1.5</f>
        <v/>
      </c>
      <c r="F293" s="9">
        <f>D293-1.5</f>
        <v/>
      </c>
      <c r="G293" s="25" t="n">
        <v>131.83</v>
      </c>
      <c r="H293" s="6">
        <f>IF(OR(K293&gt;E293,K293&lt;F293),"FAIL","PASS")</f>
        <v/>
      </c>
      <c r="I293" s="7">
        <f>IF(G293&gt;300,G293-360-D293,G293-D293)</f>
        <v/>
      </c>
      <c r="J293" s="8">
        <f>IF(G293&gt;300,G293-360,0)</f>
        <v/>
      </c>
      <c r="K293" s="8">
        <f>IF(J293=0,G293,J293)</f>
        <v/>
      </c>
    </row>
    <row r="294" ht="15" customHeight="1">
      <c r="A294" s="12" t="n">
        <v>81</v>
      </c>
      <c r="B294" s="12" t="n">
        <v>185</v>
      </c>
      <c r="C294" s="12" t="n">
        <v>282</v>
      </c>
      <c r="D294" s="5" t="n">
        <v>134.13</v>
      </c>
      <c r="E294" s="9">
        <f>D294+1.5</f>
        <v/>
      </c>
      <c r="F294" s="9">
        <f>D294-1.5</f>
        <v/>
      </c>
      <c r="G294" s="25" t="n">
        <v>134.17</v>
      </c>
      <c r="H294" s="6">
        <f>IF(OR(K294&gt;E294,K294&lt;F294),"FAIL","PASS")</f>
        <v/>
      </c>
      <c r="I294" s="7">
        <f>IF(G294&gt;300,G294-360-D294,G294-D294)</f>
        <v/>
      </c>
      <c r="J294" s="8">
        <f>IF(G294&gt;300,G294-360,0)</f>
        <v/>
      </c>
      <c r="K294" s="8">
        <f>IF(J294=0,G294,J294)</f>
        <v/>
      </c>
    </row>
    <row r="295" ht="15" customHeight="1">
      <c r="A295" s="11" t="n">
        <v>80</v>
      </c>
      <c r="B295" s="12" t="n">
        <v>183</v>
      </c>
      <c r="C295" s="12" t="n">
        <v>110</v>
      </c>
      <c r="D295" s="5" t="n">
        <v>136.5</v>
      </c>
      <c r="E295" s="9">
        <f>D295+1.5</f>
        <v/>
      </c>
      <c r="F295" s="9">
        <f>D295-1.5</f>
        <v/>
      </c>
      <c r="G295" s="25" t="n">
        <v>136.51</v>
      </c>
      <c r="H295" s="6">
        <f>IF(OR(K295&gt;E295,K295&lt;F295),"FAIL","PASS")</f>
        <v/>
      </c>
      <c r="I295" s="7">
        <f>IF(G295&gt;300,G295-360-D295,G295-D295)</f>
        <v/>
      </c>
      <c r="J295" s="8">
        <f>IF(G295&gt;300,G295-360,0)</f>
        <v/>
      </c>
      <c r="K295" s="8">
        <f>IF(J295=0,G295,J295)</f>
        <v/>
      </c>
    </row>
    <row r="296" ht="15" customHeight="1">
      <c r="A296" s="12" t="n">
        <v>79</v>
      </c>
      <c r="B296" s="12" t="n">
        <v>180</v>
      </c>
      <c r="C296" s="12" t="n">
        <v>298</v>
      </c>
      <c r="D296" s="5" t="n">
        <v>138.85</v>
      </c>
      <c r="E296" s="9">
        <f>D296+1.5</f>
        <v/>
      </c>
      <c r="F296" s="9">
        <f>D296-1.5</f>
        <v/>
      </c>
      <c r="G296" s="25" t="n">
        <v>138.81</v>
      </c>
      <c r="H296" s="6">
        <f>IF(OR(K296&gt;E296,K296&lt;F296),"FAIL","PASS")</f>
        <v/>
      </c>
      <c r="I296" s="7">
        <f>IF(G296&gt;300,G296-360-D296,G296-D296)</f>
        <v/>
      </c>
      <c r="J296" s="8">
        <f>IF(G296&gt;300,G296-360,0)</f>
        <v/>
      </c>
      <c r="K296" s="8">
        <f>IF(J296=0,G296,J296)</f>
        <v/>
      </c>
    </row>
    <row r="297" ht="15" customHeight="1">
      <c r="A297" s="12" t="n">
        <v>78</v>
      </c>
      <c r="B297" s="12" t="n">
        <v>178</v>
      </c>
      <c r="C297" s="12" t="n">
        <v>126</v>
      </c>
      <c r="D297" s="5" t="n">
        <v>141.15</v>
      </c>
      <c r="E297" s="9">
        <f>D297+1.5</f>
        <v/>
      </c>
      <c r="F297" s="9">
        <f>D297-1.5</f>
        <v/>
      </c>
      <c r="G297" s="25" t="n">
        <v>141.18</v>
      </c>
      <c r="H297" s="6">
        <f>IF(OR(K297&gt;E297,K297&lt;F297),"FAIL","PASS")</f>
        <v/>
      </c>
      <c r="I297" s="7">
        <f>IF(G297&gt;300,G297-360-D297,G297-D297)</f>
        <v/>
      </c>
      <c r="J297" s="8">
        <f>IF(G297&gt;300,G297-360,0)</f>
        <v/>
      </c>
      <c r="K297" s="8">
        <f>IF(J297=0,G297,J297)</f>
        <v/>
      </c>
    </row>
    <row r="298" ht="15" customHeight="1">
      <c r="A298" s="12" t="n">
        <v>77</v>
      </c>
      <c r="B298" s="12" t="n">
        <v>175</v>
      </c>
      <c r="C298" s="12" t="n">
        <v>315</v>
      </c>
      <c r="D298" s="5" t="n">
        <v>143.48</v>
      </c>
      <c r="E298" s="9">
        <f>D298+1.5</f>
        <v/>
      </c>
      <c r="F298" s="9">
        <f>D298-1.5</f>
        <v/>
      </c>
      <c r="G298" s="25" t="n">
        <v>143.45</v>
      </c>
      <c r="H298" s="6">
        <f>IF(OR(K298&gt;E298,K298&lt;F298),"FAIL","PASS")</f>
        <v/>
      </c>
      <c r="I298" s="7">
        <f>IF(G298&gt;300,G298-360-D298,G298-D298)</f>
        <v/>
      </c>
      <c r="J298" s="8">
        <f>IF(G298&gt;300,G298-360,0)</f>
        <v/>
      </c>
      <c r="K298" s="8">
        <f>IF(J298=0,G298,J298)</f>
        <v/>
      </c>
    </row>
    <row r="299" ht="15" customHeight="1">
      <c r="A299" s="12" t="n">
        <v>76</v>
      </c>
      <c r="B299" s="12" t="n">
        <v>173</v>
      </c>
      <c r="C299" s="12" t="n">
        <v>143</v>
      </c>
      <c r="D299" s="5" t="n">
        <v>145.83</v>
      </c>
      <c r="E299" s="9">
        <f>D299+1.5</f>
        <v/>
      </c>
      <c r="F299" s="9">
        <f>D299-1.5</f>
        <v/>
      </c>
      <c r="G299" s="25" t="n">
        <v>145.82</v>
      </c>
      <c r="H299" s="6">
        <f>IF(OR(K299&gt;E299,K299&lt;F299),"FAIL","PASS")</f>
        <v/>
      </c>
      <c r="I299" s="7">
        <f>IF(G299&gt;300,G299-360-D299,G299-D299)</f>
        <v/>
      </c>
      <c r="J299" s="8">
        <f>IF(G299&gt;300,G299-360,0)</f>
        <v/>
      </c>
      <c r="K299" s="8">
        <f>IF(J299=0,G299,J299)</f>
        <v/>
      </c>
    </row>
    <row r="300" ht="15" customHeight="1">
      <c r="A300" s="12" t="n">
        <v>75</v>
      </c>
      <c r="B300" s="12" t="n">
        <v>170</v>
      </c>
      <c r="C300" s="12" t="n">
        <v>331</v>
      </c>
      <c r="D300" s="5" t="n">
        <v>148.18</v>
      </c>
      <c r="E300" s="9">
        <f>D300+1.5</f>
        <v/>
      </c>
      <c r="F300" s="9">
        <f>D300-1.5</f>
        <v/>
      </c>
      <c r="G300" s="25" t="n">
        <v>148.15</v>
      </c>
      <c r="H300" s="6">
        <f>IF(OR(K300&gt;E300,K300&lt;F300),"FAIL","PASS")</f>
        <v/>
      </c>
      <c r="I300" s="7">
        <f>IF(G300&gt;300,G300-360-D300,G300-D300)</f>
        <v/>
      </c>
      <c r="J300" s="8">
        <f>IF(G300&gt;300,G300-360,0)</f>
        <v/>
      </c>
      <c r="K300" s="8">
        <f>IF(J300=0,G300,J300)</f>
        <v/>
      </c>
    </row>
    <row r="301" ht="15" customHeight="1">
      <c r="A301" s="12" t="n">
        <v>74</v>
      </c>
      <c r="B301" s="12" t="n">
        <v>168</v>
      </c>
      <c r="C301" s="12" t="n">
        <v>278</v>
      </c>
      <c r="D301" s="5" t="n">
        <v>150</v>
      </c>
      <c r="E301" s="9">
        <f>D301+1.5</f>
        <v/>
      </c>
      <c r="F301" s="9">
        <f>D301-1.5</f>
        <v/>
      </c>
      <c r="G301" s="25" t="n">
        <v>150.3</v>
      </c>
      <c r="H301" s="6">
        <f>IF(OR(K301&gt;E301,K301&lt;F301),"FAIL","PASS")</f>
        <v/>
      </c>
      <c r="I301" s="7">
        <f>IF(G301&gt;300,G301-360-D301,G301-D301)</f>
        <v/>
      </c>
      <c r="J301" s="8">
        <f>IF(G301&gt;300,G301-360,0)</f>
        <v/>
      </c>
      <c r="K301" s="8">
        <f>IF(J301=0,G301,J301)</f>
        <v/>
      </c>
    </row>
    <row r="302" ht="15" customHeight="1">
      <c r="A302" s="12" t="n">
        <v>73</v>
      </c>
      <c r="B302" s="12" t="n">
        <v>168</v>
      </c>
      <c r="C302" s="12" t="n">
        <v>159</v>
      </c>
      <c r="D302" s="5" t="n">
        <v>150.72</v>
      </c>
      <c r="E302" s="9">
        <f>D302+1.5</f>
        <v/>
      </c>
      <c r="F302" s="9">
        <f>D302-1.5</f>
        <v/>
      </c>
      <c r="G302" s="25" t="n">
        <v>150.67</v>
      </c>
      <c r="H302" s="6">
        <f>IF(OR(K302&gt;E302,K302&lt;F302),"FAIL","PASS")</f>
        <v/>
      </c>
      <c r="I302" s="7">
        <f>IF(G302&gt;300,G302-360-D302,G302-D302)</f>
        <v/>
      </c>
      <c r="J302" s="8">
        <f>IF(G302&gt;300,G302-360,0)</f>
        <v/>
      </c>
      <c r="K302" s="8">
        <f>IF(J302=0,G302,J302)</f>
        <v/>
      </c>
    </row>
    <row r="303" ht="15" customHeight="1">
      <c r="A303" s="12" t="n">
        <v>72</v>
      </c>
      <c r="B303" s="12" t="n">
        <v>165</v>
      </c>
      <c r="C303" s="12" t="n">
        <v>348</v>
      </c>
      <c r="D303" s="5" t="n">
        <v>153.57</v>
      </c>
      <c r="E303" s="9">
        <f>D303+1.5</f>
        <v/>
      </c>
      <c r="F303" s="9">
        <f>D303-1.5</f>
        <v/>
      </c>
      <c r="G303" s="25" t="n">
        <v>153.61</v>
      </c>
      <c r="H303" s="6">
        <f>IF(OR(K303&gt;E303,K303&lt;F303),"FAIL","PASS")</f>
        <v/>
      </c>
      <c r="I303" s="7">
        <f>IF(G303&gt;300,G303-360-D303,G303-D303)</f>
        <v/>
      </c>
      <c r="J303" s="8">
        <f>IF(G303&gt;300,G303-360,0)</f>
        <v/>
      </c>
      <c r="K303" s="8">
        <f>IF(J303=0,G303,J303)</f>
        <v/>
      </c>
    </row>
    <row r="304" ht="15" customHeight="1">
      <c r="A304" s="12" t="n">
        <v>71</v>
      </c>
      <c r="B304" s="12" t="n">
        <v>163</v>
      </c>
      <c r="C304" s="12" t="n">
        <v>176</v>
      </c>
      <c r="D304" s="5" t="n">
        <v>156.46</v>
      </c>
      <c r="E304" s="9">
        <f>D304+1.5</f>
        <v/>
      </c>
      <c r="F304" s="9">
        <f>D304-1.5</f>
        <v/>
      </c>
      <c r="G304" s="25" t="n">
        <v>156.47</v>
      </c>
      <c r="H304" s="6">
        <f>IF(OR(K304&gt;E304,K304&lt;F304),"FAIL","PASS")</f>
        <v/>
      </c>
      <c r="I304" s="7">
        <f>IF(G304&gt;300,G304-360-D304,G304-D304)</f>
        <v/>
      </c>
      <c r="J304" s="8">
        <f>IF(G304&gt;300,G304-360,0)</f>
        <v/>
      </c>
      <c r="K304" s="8">
        <f>IF(J304=0,G304,J304)</f>
        <v/>
      </c>
    </row>
    <row r="305" ht="15" customHeight="1">
      <c r="A305" s="12" t="n">
        <v>70</v>
      </c>
      <c r="B305" s="12" t="n">
        <v>161</v>
      </c>
      <c r="C305" s="12" t="n">
        <v>4</v>
      </c>
      <c r="D305" s="5" t="n">
        <v>159.31</v>
      </c>
      <c r="E305" s="9">
        <f>D305+1.5</f>
        <v/>
      </c>
      <c r="F305" s="9">
        <f>D305-1.5</f>
        <v/>
      </c>
      <c r="G305" s="25" t="n">
        <v>159.36</v>
      </c>
      <c r="H305" s="6">
        <f>IF(OR(K305&gt;E305,K305&lt;F305),"FAIL","PASS")</f>
        <v/>
      </c>
      <c r="I305" s="7">
        <f>IF(G305&gt;300,G305-360-D305,G305-D305)</f>
        <v/>
      </c>
      <c r="J305" s="8">
        <f>IF(G305&gt;300,G305-360,0)</f>
        <v/>
      </c>
      <c r="K305" s="8">
        <f>IF(J305=0,G305,J305)</f>
        <v/>
      </c>
    </row>
    <row r="306" ht="15" customHeight="1">
      <c r="A306" s="12" t="n">
        <v>69</v>
      </c>
      <c r="B306" s="12" t="n">
        <v>158</v>
      </c>
      <c r="C306" s="12" t="n">
        <v>192</v>
      </c>
      <c r="D306" s="5" t="n">
        <v>162.15</v>
      </c>
      <c r="E306" s="9">
        <f>D306+1.5</f>
        <v/>
      </c>
      <c r="F306" s="9">
        <f>D306-1.5</f>
        <v/>
      </c>
      <c r="G306" s="25" t="n">
        <v>162.23</v>
      </c>
      <c r="H306" s="6">
        <f>IF(OR(K306&gt;E306,K306&lt;F306),"FAIL","PASS")</f>
        <v/>
      </c>
      <c r="I306" s="7">
        <f>IF(G306&gt;300,G306-360-D306,G306-D306)</f>
        <v/>
      </c>
      <c r="J306" s="8">
        <f>IF(G306&gt;300,G306-360,0)</f>
        <v/>
      </c>
      <c r="K306" s="8">
        <f>IF(J306=0,G306,J306)</f>
        <v/>
      </c>
    </row>
    <row r="307" ht="15" customHeight="1">
      <c r="A307" s="12" t="n">
        <v>68</v>
      </c>
      <c r="B307" s="12" t="n">
        <v>156</v>
      </c>
      <c r="C307" s="12" t="n">
        <v>21</v>
      </c>
      <c r="D307" s="5" t="n">
        <v>164.95</v>
      </c>
      <c r="E307" s="9">
        <f>D307+1.5</f>
        <v/>
      </c>
      <c r="F307" s="9">
        <f>D307-1.5</f>
        <v/>
      </c>
      <c r="G307" s="25" t="n">
        <v>165.12</v>
      </c>
      <c r="H307" s="6">
        <f>IF(OR(K307&gt;E307,K307&lt;F307),"FAIL","PASS")</f>
        <v/>
      </c>
      <c r="I307" s="7">
        <f>IF(G307&gt;300,G307-360-D307,G307-D307)</f>
        <v/>
      </c>
      <c r="J307" s="8">
        <f>IF(G307&gt;300,G307-360,0)</f>
        <v/>
      </c>
      <c r="K307" s="8">
        <f>IF(J307=0,G307,J307)</f>
        <v/>
      </c>
    </row>
    <row r="308" ht="15" customHeight="1">
      <c r="A308" s="12" t="n">
        <v>67</v>
      </c>
      <c r="B308" s="12" t="n">
        <v>153</v>
      </c>
      <c r="C308" s="12" t="n">
        <v>209</v>
      </c>
      <c r="D308" s="5" t="n">
        <v>167.79</v>
      </c>
      <c r="E308" s="9">
        <f>D308+1.5</f>
        <v/>
      </c>
      <c r="F308" s="9">
        <f>D308-1.5</f>
        <v/>
      </c>
      <c r="G308" s="25" t="n">
        <v>168.07</v>
      </c>
      <c r="H308" s="6">
        <f>IF(OR(K308&gt;E308,K308&lt;F308),"FAIL","PASS")</f>
        <v/>
      </c>
      <c r="I308" s="7">
        <f>IF(G308&gt;300,G308-360-D308,G308-D308)</f>
        <v/>
      </c>
      <c r="J308" s="8">
        <f>IF(G308&gt;300,G308-360,0)</f>
        <v/>
      </c>
      <c r="K308" s="8">
        <f>IF(J308=0,G308,J308)</f>
        <v/>
      </c>
    </row>
    <row r="309" ht="15" customHeight="1">
      <c r="A309" s="12" t="n">
        <v>66</v>
      </c>
      <c r="B309" s="12" t="n">
        <v>151</v>
      </c>
      <c r="C309" s="12" t="n">
        <v>37</v>
      </c>
      <c r="D309" s="5" t="n">
        <v>170.84</v>
      </c>
      <c r="E309" s="9">
        <f>D309+1.5</f>
        <v/>
      </c>
      <c r="F309" s="9">
        <f>D309-1.5</f>
        <v/>
      </c>
      <c r="G309" s="25" t="n">
        <v>170.94</v>
      </c>
      <c r="H309" s="6">
        <f>IF(OR(K309&gt;E309,K309&lt;F309),"FAIL","PASS")</f>
        <v/>
      </c>
      <c r="I309" s="7">
        <f>IF(G309&gt;300,G309-360-D309,G309-D309)</f>
        <v/>
      </c>
      <c r="J309" s="8">
        <f>IF(G309&gt;300,G309-360,0)</f>
        <v/>
      </c>
      <c r="K309" s="8">
        <f>IF(J309=0,G309,J309)</f>
        <v/>
      </c>
    </row>
    <row r="310" ht="15" customHeight="1">
      <c r="A310" s="12" t="n">
        <v>65</v>
      </c>
      <c r="B310" s="12" t="n">
        <v>148</v>
      </c>
      <c r="C310" s="12" t="n">
        <v>225</v>
      </c>
      <c r="D310" s="5" t="n">
        <v>173.38</v>
      </c>
      <c r="E310" s="9">
        <f>D310+1.5</f>
        <v/>
      </c>
      <c r="F310" s="9">
        <f>D310-1.5</f>
        <v/>
      </c>
      <c r="G310" s="25" t="n">
        <v>173.6</v>
      </c>
      <c r="H310" s="6">
        <f>IF(OR(K310&gt;E310,K310&lt;F310),"FAIL","PASS")</f>
        <v/>
      </c>
      <c r="I310" s="7">
        <f>IF(G310&gt;300,G310-360-D310,G310-D310)</f>
        <v/>
      </c>
      <c r="J310" s="8">
        <f>IF(G310&gt;300,G310-360,0)</f>
        <v/>
      </c>
      <c r="K310" s="8">
        <f>IF(J310=0,G310,J310)</f>
        <v/>
      </c>
    </row>
    <row r="311" ht="15" customHeight="1">
      <c r="A311" s="12" t="n">
        <v>64</v>
      </c>
      <c r="B311" s="12" t="n">
        <v>146</v>
      </c>
      <c r="C311" s="12" t="n">
        <v>54</v>
      </c>
      <c r="D311" s="5" t="n">
        <v>176.13</v>
      </c>
      <c r="E311" s="9">
        <f>D311+1.5</f>
        <v/>
      </c>
      <c r="F311" s="9">
        <f>D311-1.5</f>
        <v/>
      </c>
      <c r="G311" s="25" t="n">
        <v>176.29</v>
      </c>
      <c r="H311" s="6">
        <f>IF(OR(K311&gt;E311,K311&lt;F311),"FAIL","PASS")</f>
        <v/>
      </c>
      <c r="I311" s="7">
        <f>IF(G311&gt;300,G311-360-D311,G311-D311)</f>
        <v/>
      </c>
      <c r="J311" s="8">
        <f>IF(G311&gt;300,G311-360,0)</f>
        <v/>
      </c>
      <c r="K311" s="8">
        <f>IF(J311=0,G311,J311)</f>
        <v/>
      </c>
    </row>
    <row r="312" ht="15" customHeight="1">
      <c r="A312" s="12" t="n">
        <v>63</v>
      </c>
      <c r="B312" s="12" t="n">
        <v>143</v>
      </c>
      <c r="C312" s="12" t="n">
        <v>242</v>
      </c>
      <c r="D312" s="5" t="n">
        <v>178.65</v>
      </c>
      <c r="E312" s="9">
        <f>D312+1.5</f>
        <v/>
      </c>
      <c r="F312" s="9">
        <f>D312-1.5</f>
        <v/>
      </c>
      <c r="G312" s="25" t="n">
        <v>178.71</v>
      </c>
      <c r="H312" s="6">
        <f>IF(OR(K312&gt;E312,K312&lt;F312),"FAIL","PASS")</f>
        <v/>
      </c>
      <c r="I312" s="7">
        <f>IF(G312&gt;300,G312-360-D312,G312-D312)</f>
        <v/>
      </c>
      <c r="J312" s="8">
        <f>IF(G312&gt;300,G312-360,0)</f>
        <v/>
      </c>
      <c r="K312" s="8">
        <f>IF(J312=0,G312,J312)</f>
        <v/>
      </c>
    </row>
    <row r="313" ht="15" customHeight="1">
      <c r="A313" s="12" t="n">
        <v>62</v>
      </c>
      <c r="B313" s="12" t="n">
        <v>142</v>
      </c>
      <c r="C313" s="12" t="n">
        <v>37</v>
      </c>
      <c r="D313" s="5" t="n">
        <v>180</v>
      </c>
      <c r="E313" s="9">
        <f>D313+1.5</f>
        <v/>
      </c>
      <c r="F313" s="9">
        <f>D313-1.5</f>
        <v/>
      </c>
      <c r="G313" s="25" t="n">
        <v>180.56</v>
      </c>
      <c r="H313" s="6">
        <f>IF(OR(K313&gt;E313,K313&lt;F313),"FAIL","PASS")</f>
        <v/>
      </c>
      <c r="I313" s="7">
        <f>IF(G313&gt;300,G313-360-D313,G313-D313)</f>
        <v/>
      </c>
      <c r="J313" s="8">
        <f>IF(G313&gt;300,G313-360,0)</f>
        <v/>
      </c>
      <c r="K313" s="8">
        <f>IF(J313=0,G313,J313)</f>
        <v/>
      </c>
    </row>
    <row r="314" ht="15" customHeight="1">
      <c r="A314" s="12" t="n">
        <v>61</v>
      </c>
      <c r="B314" s="12" t="n">
        <v>141</v>
      </c>
      <c r="C314" s="12" t="n">
        <v>70</v>
      </c>
      <c r="D314" s="5" t="n">
        <v>181.49</v>
      </c>
      <c r="E314" s="9">
        <f>D314+1.5</f>
        <v/>
      </c>
      <c r="F314" s="9">
        <f>D314-1.5</f>
        <v/>
      </c>
      <c r="G314" s="25" t="n">
        <v>181.66</v>
      </c>
      <c r="H314" s="6">
        <f>IF(OR(K314&gt;E314,K314&lt;F314),"FAIL","PASS")</f>
        <v/>
      </c>
      <c r="I314" s="7">
        <f>IF(G314&gt;300,G314-360-D314,G314-D314)</f>
        <v/>
      </c>
      <c r="J314" s="8">
        <f>IF(G314&gt;300,G314-360,0)</f>
        <v/>
      </c>
      <c r="K314" s="8">
        <f>IF(J314=0,G314,J314)</f>
        <v/>
      </c>
    </row>
    <row r="315" ht="15" customHeight="1">
      <c r="A315" s="12" t="n">
        <v>60</v>
      </c>
      <c r="B315" s="12" t="n">
        <v>138</v>
      </c>
      <c r="C315" s="11" t="n">
        <v>258</v>
      </c>
      <c r="D315" s="5" t="n">
        <v>184.37</v>
      </c>
      <c r="E315" s="9">
        <f>D315+1.5</f>
        <v/>
      </c>
      <c r="F315" s="9">
        <f>D315-1.5</f>
        <v/>
      </c>
      <c r="G315" s="25" t="n">
        <v>184.52</v>
      </c>
      <c r="H315" s="6">
        <f>IF(OR(K315&gt;E315,K315&lt;F315),"FAIL","PASS")</f>
        <v/>
      </c>
      <c r="I315" s="7">
        <f>IF(G315&gt;300,G315-360-D315,G315-D315)</f>
        <v/>
      </c>
      <c r="J315" s="8">
        <f>IF(G315&gt;300,G315-360,0)</f>
        <v/>
      </c>
      <c r="K315" s="8">
        <f>IF(J315=0,G315,J315)</f>
        <v/>
      </c>
    </row>
    <row r="316" ht="15" customHeight="1">
      <c r="A316" s="12" t="n">
        <v>59</v>
      </c>
      <c r="B316" s="12" t="n">
        <v>136</v>
      </c>
      <c r="C316" s="11" t="n">
        <v>87</v>
      </c>
      <c r="D316" s="5" t="n">
        <v>187.17</v>
      </c>
      <c r="E316" s="9">
        <f>D316+1.5</f>
        <v/>
      </c>
      <c r="F316" s="9">
        <f>D316-1.5</f>
        <v/>
      </c>
      <c r="G316" s="25" t="n">
        <v>187.21</v>
      </c>
      <c r="H316" s="6">
        <f>IF(OR(K316&gt;E316,K316&lt;F316),"FAIL","PASS")</f>
        <v/>
      </c>
      <c r="I316" s="7">
        <f>IF(G316&gt;300,G316-360-D316,G316-D316)</f>
        <v/>
      </c>
      <c r="J316" s="8">
        <f>IF(G316&gt;300,G316-360,0)</f>
        <v/>
      </c>
      <c r="K316" s="8">
        <f>IF(J316=0,G316,J316)</f>
        <v/>
      </c>
    </row>
    <row r="317" ht="15" customHeight="1">
      <c r="A317" s="12" t="n">
        <v>58</v>
      </c>
      <c r="B317" s="12" t="n">
        <v>133</v>
      </c>
      <c r="C317" s="11" t="n">
        <v>275</v>
      </c>
      <c r="D317" s="5" t="n">
        <v>189.96</v>
      </c>
      <c r="E317" s="9">
        <f>D317+1.5</f>
        <v/>
      </c>
      <c r="F317" s="9">
        <f>D317-1.5</f>
        <v/>
      </c>
      <c r="G317" s="25" t="n">
        <v>189.97</v>
      </c>
      <c r="H317" s="6">
        <f>IF(OR(K317&gt;E317,K317&lt;F317),"FAIL","PASS")</f>
        <v/>
      </c>
      <c r="I317" s="7">
        <f>IF(G317&gt;300,G317-360-D317,G317-D317)</f>
        <v/>
      </c>
      <c r="J317" s="8">
        <f>IF(G317&gt;300,G317-360,0)</f>
        <v/>
      </c>
      <c r="K317" s="8">
        <f>IF(J317=0,G317,J317)</f>
        <v/>
      </c>
    </row>
    <row r="318" ht="15" customHeight="1">
      <c r="A318" s="12" t="n">
        <v>57</v>
      </c>
      <c r="B318" s="12" t="n">
        <v>131</v>
      </c>
      <c r="C318" s="11" t="n">
        <v>103</v>
      </c>
      <c r="D318" s="5" t="n">
        <v>192.78</v>
      </c>
      <c r="E318" s="9">
        <f>D318+1.5</f>
        <v/>
      </c>
      <c r="F318" s="9">
        <f>D318-1.5</f>
        <v/>
      </c>
      <c r="G318" s="25" t="n">
        <v>192.77</v>
      </c>
      <c r="H318" s="6">
        <f>IF(OR(K318&gt;E318,K318&lt;F318),"FAIL","PASS")</f>
        <v/>
      </c>
      <c r="I318" s="7">
        <f>IF(G318&gt;300,G318-360-D318,G318-D318)</f>
        <v/>
      </c>
      <c r="J318" s="8">
        <f>IF(G318&gt;300,G318-360,0)</f>
        <v/>
      </c>
      <c r="K318" s="8">
        <f>IF(J318=0,G318,J318)</f>
        <v/>
      </c>
    </row>
    <row r="319" ht="15" customHeight="1">
      <c r="A319" s="12" t="n">
        <v>56</v>
      </c>
      <c r="B319" s="12" t="n">
        <v>128</v>
      </c>
      <c r="C319" s="11" t="n">
        <v>291</v>
      </c>
      <c r="D319" s="5" t="n">
        <v>195.56</v>
      </c>
      <c r="E319" s="9">
        <f>D319+1.5</f>
        <v/>
      </c>
      <c r="F319" s="9">
        <f>D319-1.5</f>
        <v/>
      </c>
      <c r="G319" s="25" t="n">
        <v>195.52</v>
      </c>
      <c r="H319" s="6">
        <f>IF(OR(K319&gt;E319,K319&lt;F319),"FAIL","PASS")</f>
        <v/>
      </c>
      <c r="I319" s="7">
        <f>IF(G319&gt;300,G319-360-D319,G319-D319)</f>
        <v/>
      </c>
      <c r="J319" s="8">
        <f>IF(G319&gt;300,G319-360,0)</f>
        <v/>
      </c>
      <c r="K319" s="8">
        <f>IF(J319=0,G319,J319)</f>
        <v/>
      </c>
    </row>
    <row r="320" ht="15" customHeight="1">
      <c r="A320" s="12" t="n">
        <v>55</v>
      </c>
      <c r="B320" s="12" t="n">
        <v>126</v>
      </c>
      <c r="C320" s="11" t="n">
        <v>120</v>
      </c>
      <c r="D320" s="5" t="n">
        <v>198.3</v>
      </c>
      <c r="E320" s="9">
        <f>D320+1.5</f>
        <v/>
      </c>
      <c r="F320" s="9">
        <f>D320-1.5</f>
        <v/>
      </c>
      <c r="G320" s="25" t="n">
        <v>198.32</v>
      </c>
      <c r="H320" s="6">
        <f>IF(OR(K320&gt;E320,K320&lt;F320),"FAIL","PASS")</f>
        <v/>
      </c>
      <c r="I320" s="7">
        <f>IF(G320&gt;300,G320-360-D320,G320-D320)</f>
        <v/>
      </c>
      <c r="J320" s="8">
        <f>IF(G320&gt;300,G320-360,0)</f>
        <v/>
      </c>
      <c r="K320" s="8">
        <f>IF(J320=0,G320,J320)</f>
        <v/>
      </c>
    </row>
    <row r="321" ht="15" customHeight="1">
      <c r="A321" s="12" t="n">
        <v>54</v>
      </c>
      <c r="B321" s="12" t="n">
        <v>123</v>
      </c>
      <c r="C321" s="11" t="n">
        <v>308</v>
      </c>
      <c r="D321" s="5" t="n">
        <v>201.06</v>
      </c>
      <c r="E321" s="9">
        <f>D321+1.5</f>
        <v/>
      </c>
      <c r="F321" s="9">
        <f>D321-1.5</f>
        <v/>
      </c>
      <c r="G321" s="25" t="n">
        <v>201.15</v>
      </c>
      <c r="H321" s="6">
        <f>IF(OR(K321&gt;E321,K321&lt;F321),"FAIL","PASS")</f>
        <v/>
      </c>
      <c r="I321" s="7">
        <f>IF(G321&gt;300,G321-360-D321,G321-D321)</f>
        <v/>
      </c>
      <c r="J321" s="8">
        <f>IF(G321&gt;300,G321-360,0)</f>
        <v/>
      </c>
      <c r="K321" s="8">
        <f>IF(J321=0,G321,J321)</f>
        <v/>
      </c>
    </row>
    <row r="322" ht="15" customHeight="1">
      <c r="A322" s="12" t="n">
        <v>53</v>
      </c>
      <c r="B322" s="12" t="n">
        <v>121</v>
      </c>
      <c r="C322" s="11" t="n">
        <v>136</v>
      </c>
      <c r="D322" s="5" t="n">
        <v>203.79</v>
      </c>
      <c r="E322" s="9">
        <f>D322+1.5</f>
        <v/>
      </c>
      <c r="F322" s="9">
        <f>D322-1.5</f>
        <v/>
      </c>
      <c r="G322" s="25" t="n">
        <v>203.9</v>
      </c>
      <c r="H322" s="6">
        <f>IF(OR(K322&gt;E322,K322&lt;F322),"FAIL","PASS")</f>
        <v/>
      </c>
      <c r="I322" s="7">
        <f>IF(G322&gt;300,G322-360-D322,G322-D322)</f>
        <v/>
      </c>
      <c r="J322" s="8">
        <f>IF(G322&gt;300,G322-360,0)</f>
        <v/>
      </c>
      <c r="K322" s="8">
        <f>IF(J322=0,G322,J322)</f>
        <v/>
      </c>
    </row>
    <row r="323" ht="15" customHeight="1">
      <c r="A323" s="12" t="n">
        <v>52</v>
      </c>
      <c r="B323" s="12" t="n">
        <v>118</v>
      </c>
      <c r="C323" s="11" t="n">
        <v>324</v>
      </c>
      <c r="D323" s="5" t="n">
        <v>206.5</v>
      </c>
      <c r="E323" s="9">
        <f>D323+1.5</f>
        <v/>
      </c>
      <c r="F323" s="9">
        <f>D323-1.5</f>
        <v/>
      </c>
      <c r="G323" s="25" t="n">
        <v>206.57</v>
      </c>
      <c r="H323" s="6">
        <f>IF(OR(K323&gt;E323,K323&lt;F323),"FAIL","PASS")</f>
        <v/>
      </c>
      <c r="I323" s="7">
        <f>IF(G323&gt;300,G323-360-D323,G323-D323)</f>
        <v/>
      </c>
      <c r="J323" s="8">
        <f>IF(G323&gt;300,G323-360,0)</f>
        <v/>
      </c>
      <c r="K323" s="8">
        <f>IF(J323=0,G323,J323)</f>
        <v/>
      </c>
    </row>
    <row r="324" ht="15" customHeight="1">
      <c r="A324" s="12" t="n">
        <v>51</v>
      </c>
      <c r="B324" s="12" t="n">
        <v>116</v>
      </c>
      <c r="C324" s="11" t="n">
        <v>153</v>
      </c>
      <c r="D324" s="5" t="n">
        <v>209.19</v>
      </c>
      <c r="E324" s="9">
        <f>D324+1.5</f>
        <v/>
      </c>
      <c r="F324" s="9">
        <f>D324-1.5</f>
        <v/>
      </c>
      <c r="G324" s="25" t="n">
        <v>209.3</v>
      </c>
      <c r="H324" s="6">
        <f>IF(OR(K324&gt;E324,K324&lt;F324),"FAIL","PASS")</f>
        <v/>
      </c>
      <c r="I324" s="7">
        <f>IF(G324&gt;300,G324-360-D324,G324-D324)</f>
        <v/>
      </c>
      <c r="J324" s="8">
        <f>IF(G324&gt;300,G324-360,0)</f>
        <v/>
      </c>
      <c r="K324" s="8">
        <f>IF(J324=0,G324,J324)</f>
        <v/>
      </c>
    </row>
    <row r="325" ht="15" customHeight="1">
      <c r="A325" s="12" t="n">
        <v>50</v>
      </c>
      <c r="B325" s="12" t="n">
        <v>115</v>
      </c>
      <c r="C325" s="11" t="n">
        <v>156</v>
      </c>
      <c r="D325" s="5" t="n">
        <v>210</v>
      </c>
      <c r="E325" s="9">
        <f>D325+1.5</f>
        <v/>
      </c>
      <c r="F325" s="9">
        <f>D325-1.5</f>
        <v/>
      </c>
      <c r="G325" s="25" t="n">
        <v>210.05</v>
      </c>
      <c r="H325" s="6">
        <f>IF(OR(K325&gt;E325,K325&lt;F325),"FAIL","PASS")</f>
        <v/>
      </c>
      <c r="I325" s="7">
        <f>IF(G325&gt;300,G325-360-D325,G325-D325)</f>
        <v/>
      </c>
      <c r="J325" s="8">
        <f>IF(G325&gt;300,G325-360,0)</f>
        <v/>
      </c>
      <c r="K325" s="8">
        <f>IF(J325=0,G325,J325)</f>
        <v/>
      </c>
    </row>
    <row r="326" ht="15" customHeight="1">
      <c r="A326" s="12" t="n">
        <v>49</v>
      </c>
      <c r="B326" s="12" t="n">
        <v>113</v>
      </c>
      <c r="C326" s="11" t="n">
        <v>341</v>
      </c>
      <c r="D326" s="5" t="n">
        <v>211.16</v>
      </c>
      <c r="E326" s="9">
        <f>D326+1.5</f>
        <v/>
      </c>
      <c r="F326" s="9">
        <f>D326-1.5</f>
        <v/>
      </c>
      <c r="G326" s="25" t="n">
        <v>211.13</v>
      </c>
      <c r="H326" s="6">
        <f>IF(OR(K326&gt;E326,K326&lt;F326),"FAIL","PASS")</f>
        <v/>
      </c>
      <c r="I326" s="7">
        <f>IF(G326&gt;300,G326-360-D326,G326-D326)</f>
        <v/>
      </c>
      <c r="J326" s="8">
        <f>IF(G326&gt;300,G326-360,0)</f>
        <v/>
      </c>
      <c r="K326" s="8">
        <f>IF(J326=0,G326,J326)</f>
        <v/>
      </c>
    </row>
    <row r="327" ht="15" customHeight="1">
      <c r="A327" s="12" t="n">
        <v>48</v>
      </c>
      <c r="B327" s="12" t="n">
        <v>111</v>
      </c>
      <c r="C327" s="11" t="n">
        <v>169</v>
      </c>
      <c r="D327" s="5" t="n">
        <v>212.8</v>
      </c>
      <c r="E327" s="9">
        <f>D327+1.5</f>
        <v/>
      </c>
      <c r="F327" s="9">
        <f>D327-1.5</f>
        <v/>
      </c>
      <c r="G327" s="25" t="n">
        <v>212.74</v>
      </c>
      <c r="H327" s="6">
        <f>IF(OR(K327&gt;E327,K327&lt;F327),"FAIL","PASS")</f>
        <v/>
      </c>
      <c r="I327" s="7">
        <f>IF(G327&gt;300,G327-360-D327,G327-D327)</f>
        <v/>
      </c>
      <c r="J327" s="8">
        <f>IF(G327&gt;300,G327-360,0)</f>
        <v/>
      </c>
      <c r="K327" s="8">
        <f>IF(J327=0,G327,J327)</f>
        <v/>
      </c>
    </row>
    <row r="328" ht="15" customHeight="1">
      <c r="A328" s="11" t="n">
        <v>47</v>
      </c>
      <c r="B328" s="12" t="n">
        <v>108</v>
      </c>
      <c r="C328" s="11" t="n">
        <v>357</v>
      </c>
      <c r="D328" s="5" t="n">
        <v>214.27</v>
      </c>
      <c r="E328" s="9">
        <f>D328+1.5</f>
        <v/>
      </c>
      <c r="F328" s="9">
        <f>D328-1.5</f>
        <v/>
      </c>
      <c r="G328" s="25" t="n">
        <v>214.17</v>
      </c>
      <c r="H328" s="6">
        <f>IF(OR(K328&gt;E328,K328&lt;F328),"FAIL","PASS")</f>
        <v/>
      </c>
      <c r="I328" s="7">
        <f>IF(G328&gt;300,G328-360-D328,G328-D328)</f>
        <v/>
      </c>
      <c r="J328" s="8">
        <f>IF(G328&gt;300,G328-360,0)</f>
        <v/>
      </c>
      <c r="K328" s="8">
        <f>IF(J328=0,G328,J328)</f>
        <v/>
      </c>
    </row>
    <row r="329" ht="15" customHeight="1">
      <c r="A329" s="12" t="n">
        <v>46</v>
      </c>
      <c r="B329" s="12" t="n">
        <v>106</v>
      </c>
      <c r="C329" s="11" t="n">
        <v>186</v>
      </c>
      <c r="D329" s="5" t="n">
        <v>215.78</v>
      </c>
      <c r="E329" s="9">
        <f>D329+1.5</f>
        <v/>
      </c>
      <c r="F329" s="9">
        <f>D329-1.5</f>
        <v/>
      </c>
      <c r="G329" s="25" t="n">
        <v>215.67</v>
      </c>
      <c r="H329" s="6">
        <f>IF(OR(K329&gt;E329,K329&lt;F329),"FAIL","PASS")</f>
        <v/>
      </c>
      <c r="I329" s="7">
        <f>IF(G329&gt;300,G329-360-D329,G329-D329)</f>
        <v/>
      </c>
      <c r="J329" s="8">
        <f>IF(G329&gt;300,G329-360,0)</f>
        <v/>
      </c>
      <c r="K329" s="8">
        <f>IF(J329=0,G329,J329)</f>
        <v/>
      </c>
    </row>
    <row r="330" ht="15" customHeight="1">
      <c r="A330" s="11" t="n">
        <v>45</v>
      </c>
      <c r="B330" s="12" t="n">
        <v>104</v>
      </c>
      <c r="C330" s="11" t="n">
        <v>1.4</v>
      </c>
      <c r="D330" s="16" t="n">
        <v>217.31</v>
      </c>
      <c r="E330" s="9">
        <f>D330+1.5</f>
        <v/>
      </c>
      <c r="F330" s="9">
        <f>D330-1.5</f>
        <v/>
      </c>
      <c r="G330" s="25" t="n">
        <v>217.17</v>
      </c>
      <c r="H330" s="6">
        <f>IF(OR(K330&gt;E330,K330&lt;F330),"FAIL","PASS")</f>
        <v/>
      </c>
      <c r="I330" s="7">
        <f>IF(G330&gt;300,G330-360-D330,G330-D330)</f>
        <v/>
      </c>
      <c r="J330" s="8">
        <f>IF(G330&gt;300,G330-360,0)</f>
        <v/>
      </c>
      <c r="K330" s="8">
        <f>IF(J330=0,G330,J330)</f>
        <v/>
      </c>
    </row>
    <row r="331" ht="15" customHeight="1">
      <c r="A331" s="11" t="n">
        <v>44</v>
      </c>
      <c r="B331" s="12" t="n">
        <v>101</v>
      </c>
      <c r="C331" s="11" t="n">
        <v>202</v>
      </c>
      <c r="D331" s="5" t="n">
        <v>218.86</v>
      </c>
      <c r="E331" s="9">
        <f>D331+1.5</f>
        <v/>
      </c>
      <c r="F331" s="9">
        <f>D331-1.5</f>
        <v/>
      </c>
      <c r="G331" s="25" t="n">
        <v>218.74</v>
      </c>
      <c r="H331" s="6">
        <f>IF(OR(K331&gt;E331,K331&lt;F331),"FAIL","PASS")</f>
        <v/>
      </c>
      <c r="I331" s="7">
        <f>IF(G331&gt;300,G331-360-D331,G331-D331)</f>
        <v/>
      </c>
      <c r="J331" s="8">
        <f>IF(G331&gt;300,G331-360,0)</f>
        <v/>
      </c>
      <c r="K331" s="8">
        <f>IF(J331=0,G331,J331)</f>
        <v/>
      </c>
    </row>
    <row r="332" ht="15" customHeight="1">
      <c r="A332" s="11" t="n">
        <v>43</v>
      </c>
      <c r="B332" s="12" t="n">
        <v>99</v>
      </c>
      <c r="C332" s="11" t="n">
        <v>30</v>
      </c>
      <c r="D332" s="5" t="n">
        <v>220.4</v>
      </c>
      <c r="E332" s="9">
        <f>D332+1.5</f>
        <v/>
      </c>
      <c r="F332" s="9">
        <f>D332-1.5</f>
        <v/>
      </c>
      <c r="G332" s="25" t="n">
        <v>220.3</v>
      </c>
      <c r="H332" s="6">
        <f>IF(OR(K332&gt;E332,K332&lt;F332),"FAIL","PASS")</f>
        <v/>
      </c>
      <c r="I332" s="7">
        <f>IF(G332&gt;300,G332-360-D332,G332-D332)</f>
        <v/>
      </c>
      <c r="J332" s="8">
        <f>IF(G332&gt;300,G332-360,0)</f>
        <v/>
      </c>
      <c r="K332" s="8">
        <f>IF(J332=0,G332,J332)</f>
        <v/>
      </c>
    </row>
    <row r="333" ht="15" customHeight="1">
      <c r="A333" s="12" t="n">
        <v>42</v>
      </c>
      <c r="B333" s="12" t="n">
        <v>96</v>
      </c>
      <c r="C333" s="11" t="n">
        <v>218</v>
      </c>
      <c r="D333" s="5" t="n">
        <v>221.91</v>
      </c>
      <c r="E333" s="9">
        <f>D333+1.5</f>
        <v/>
      </c>
      <c r="F333" s="9">
        <f>D333-1.5</f>
        <v/>
      </c>
      <c r="G333" s="25" t="n">
        <v>221.87</v>
      </c>
      <c r="H333" s="6">
        <f>IF(OR(K333&gt;E333,K333&lt;F333),"FAIL","PASS")</f>
        <v/>
      </c>
      <c r="I333" s="7">
        <f>IF(G333&gt;300,G333-360-D333,G333-D333)</f>
        <v/>
      </c>
      <c r="J333" s="8">
        <f>IF(G333&gt;300,G333-360,0)</f>
        <v/>
      </c>
      <c r="K333" s="8">
        <f>IF(J333=0,G333,J333)</f>
        <v/>
      </c>
    </row>
    <row r="334" ht="15" customHeight="1">
      <c r="A334" s="12" t="n">
        <v>41</v>
      </c>
      <c r="B334" s="12" t="n">
        <v>94</v>
      </c>
      <c r="C334" s="11" t="n">
        <v>47</v>
      </c>
      <c r="D334" s="5" t="n">
        <v>223.38</v>
      </c>
      <c r="E334" s="9">
        <f>D334+1.5</f>
        <v/>
      </c>
      <c r="F334" s="9">
        <f>D334-1.5</f>
        <v/>
      </c>
      <c r="G334" s="25" t="n">
        <v>223.31</v>
      </c>
      <c r="H334" s="6">
        <f>IF(OR(K334&gt;E334,K334&lt;F334),"FAIL","PASS")</f>
        <v/>
      </c>
      <c r="I334" s="7">
        <f>IF(G334&gt;300,G334-360-D334,G334-D334)</f>
        <v/>
      </c>
      <c r="J334" s="8">
        <f>IF(G334&gt;300,G334-360,0)</f>
        <v/>
      </c>
      <c r="K334" s="8">
        <f>IF(J334=0,G334,J334)</f>
        <v/>
      </c>
    </row>
    <row r="335" ht="15" customHeight="1">
      <c r="A335" s="12" t="n">
        <v>40</v>
      </c>
      <c r="B335" s="12" t="n">
        <v>91</v>
      </c>
      <c r="C335" s="11" t="n">
        <v>235</v>
      </c>
      <c r="D335" s="5" t="n">
        <v>224.79</v>
      </c>
      <c r="E335" s="9">
        <f>D335+1.5</f>
        <v/>
      </c>
      <c r="F335" s="9">
        <f>D335-1.5</f>
        <v/>
      </c>
      <c r="G335" s="25" t="n">
        <v>224.72</v>
      </c>
      <c r="H335" s="6">
        <f>IF(OR(K335&gt;E335,K335&lt;F335),"FAIL","PASS")</f>
        <v/>
      </c>
      <c r="I335" s="7">
        <f>IF(G335&gt;300,G335-360-D335,G335-D335)</f>
        <v/>
      </c>
      <c r="J335" s="8">
        <f>IF(G335&gt;300,G335-360,0)</f>
        <v/>
      </c>
      <c r="K335" s="8">
        <f>IF(J335=0,G335,J335)</f>
        <v/>
      </c>
    </row>
    <row r="336" ht="15" customHeight="1">
      <c r="A336" s="12" t="n">
        <v>39</v>
      </c>
      <c r="B336" s="12" t="n">
        <v>89</v>
      </c>
      <c r="C336" s="11" t="n">
        <v>63</v>
      </c>
      <c r="D336" s="5" t="n">
        <v>226.26</v>
      </c>
      <c r="E336" s="9">
        <f>D336+1.5</f>
        <v/>
      </c>
      <c r="F336" s="9">
        <f>D336-1.5</f>
        <v/>
      </c>
      <c r="G336" s="25" t="n">
        <v>226.22</v>
      </c>
      <c r="H336" s="6">
        <f>IF(OR(K336&gt;E336,K336&lt;F336),"FAIL","PASS")</f>
        <v/>
      </c>
      <c r="I336" s="7">
        <f>IF(G336&gt;300,G336-360-D336,G336-D336)</f>
        <v/>
      </c>
      <c r="J336" s="8">
        <f>IF(G336&gt;300,G336-360,0)</f>
        <v/>
      </c>
      <c r="K336" s="8">
        <f>IF(J336=0,G336,J336)</f>
        <v/>
      </c>
    </row>
    <row r="337" ht="15" customHeight="1">
      <c r="A337" s="12" t="n">
        <v>38</v>
      </c>
      <c r="B337" s="12" t="n">
        <v>86</v>
      </c>
      <c r="C337" s="11" t="n">
        <v>251</v>
      </c>
      <c r="D337" s="5" t="n">
        <v>227.7</v>
      </c>
      <c r="E337" s="9">
        <f>D337+1.5</f>
        <v/>
      </c>
      <c r="F337" s="9">
        <f>D337-1.5</f>
        <v/>
      </c>
      <c r="G337" s="25" t="n">
        <v>227.66</v>
      </c>
      <c r="H337" s="6">
        <f>IF(OR(K337&gt;E337,K337&lt;F337),"FAIL","PASS")</f>
        <v/>
      </c>
      <c r="I337" s="7">
        <f>IF(G337&gt;300,G337-360-D337,G337-D337)</f>
        <v/>
      </c>
      <c r="J337" s="8">
        <f>IF(G337&gt;300,G337-360,0)</f>
        <v/>
      </c>
      <c r="K337" s="8">
        <f>IF(J337=0,G337,J337)</f>
        <v/>
      </c>
    </row>
    <row r="338" ht="15" customHeight="1">
      <c r="A338" s="12" t="n">
        <v>37</v>
      </c>
      <c r="B338" s="12" t="n">
        <v>84</v>
      </c>
      <c r="C338" s="11" t="n">
        <v>80</v>
      </c>
      <c r="D338" s="5" t="n">
        <v>229.11</v>
      </c>
      <c r="E338" s="9">
        <f>D338+1.5</f>
        <v/>
      </c>
      <c r="F338" s="9">
        <f>D338-1.5</f>
        <v/>
      </c>
      <c r="G338" s="25" t="n">
        <v>229.08</v>
      </c>
      <c r="H338" s="6">
        <f>IF(OR(K338&gt;E338,K338&lt;F338),"FAIL","PASS")</f>
        <v/>
      </c>
      <c r="I338" s="7">
        <f>IF(G338&gt;300,G338-360-D338,G338-D338)</f>
        <v/>
      </c>
      <c r="J338" s="8">
        <f>IF(G338&gt;300,G338-360,0)</f>
        <v/>
      </c>
      <c r="K338" s="8">
        <f>IF(J338=0,G338,J338)</f>
        <v/>
      </c>
    </row>
    <row r="339" ht="15" customHeight="1">
      <c r="A339" s="12" t="n">
        <v>36</v>
      </c>
      <c r="B339" s="12" t="n">
        <v>81</v>
      </c>
      <c r="C339" s="11" t="n">
        <v>268</v>
      </c>
      <c r="D339" s="5" t="n">
        <v>230.53</v>
      </c>
      <c r="E339" s="9">
        <f>D339+1.5</f>
        <v/>
      </c>
      <c r="F339" s="9">
        <f>D339-1.5</f>
        <v/>
      </c>
      <c r="G339" s="25" t="n">
        <v>230.48</v>
      </c>
      <c r="H339" s="6">
        <f>IF(OR(K339&gt;E339,K339&lt;F339),"FAIL","PASS")</f>
        <v/>
      </c>
      <c r="I339" s="7">
        <f>IF(G339&gt;300,G339-360-D339,G339-D339)</f>
        <v/>
      </c>
      <c r="J339" s="8">
        <f>IF(G339&gt;300,G339-360,0)</f>
        <v/>
      </c>
      <c r="K339" s="8">
        <f>IF(J339=0,G339,J339)</f>
        <v/>
      </c>
    </row>
    <row r="340" ht="15" customHeight="1">
      <c r="A340" s="12" t="n">
        <v>35</v>
      </c>
      <c r="B340" s="12" t="n">
        <v>79</v>
      </c>
      <c r="C340" s="11" t="n">
        <v>96</v>
      </c>
      <c r="D340" s="5" t="n">
        <v>231.95</v>
      </c>
      <c r="E340" s="9">
        <f>D340+1.5</f>
        <v/>
      </c>
      <c r="F340" s="9">
        <f>D340-1.5</f>
        <v/>
      </c>
      <c r="G340" s="25" t="n">
        <v>231.87</v>
      </c>
      <c r="H340" s="6">
        <f>IF(OR(K340&gt;E340,K340&lt;F340),"FAIL","PASS")</f>
        <v/>
      </c>
      <c r="I340" s="7">
        <f>IF(G340&gt;300,G340-360-D340,G340-D340)</f>
        <v/>
      </c>
      <c r="J340" s="8">
        <f>IF(G340&gt;300,G340-360,0)</f>
        <v/>
      </c>
      <c r="K340" s="8">
        <f>IF(J340=0,G340,J340)</f>
        <v/>
      </c>
    </row>
    <row r="341" ht="15" customHeight="1">
      <c r="A341" s="11" t="n">
        <v>34</v>
      </c>
      <c r="B341" s="12" t="n">
        <v>76</v>
      </c>
      <c r="C341" s="11" t="n">
        <v>284</v>
      </c>
      <c r="D341" s="5" t="n">
        <v>233.37</v>
      </c>
      <c r="E341" s="9">
        <f>D341+1.5</f>
        <v/>
      </c>
      <c r="F341" s="9">
        <f>D341-1.5</f>
        <v/>
      </c>
      <c r="G341" s="25" t="n">
        <v>233.32</v>
      </c>
      <c r="H341" s="6">
        <f>IF(OR(K341&gt;E341,K341&lt;F341),"FAIL","PASS")</f>
        <v/>
      </c>
      <c r="I341" s="7">
        <f>IF(G341&gt;300,G341-360-D341,G341-D341)</f>
        <v/>
      </c>
      <c r="J341" s="8">
        <f>IF(G341&gt;300,G341-360,0)</f>
        <v/>
      </c>
      <c r="K341" s="8">
        <f>IF(J341=0,G341,J341)</f>
        <v/>
      </c>
    </row>
    <row r="342" ht="15" customHeight="1">
      <c r="A342" s="11" t="n">
        <v>33</v>
      </c>
      <c r="B342" s="12" t="n">
        <v>74</v>
      </c>
      <c r="C342" s="11" t="n">
        <v>113</v>
      </c>
      <c r="D342" s="5" t="n">
        <v>234.81</v>
      </c>
      <c r="E342" s="9">
        <f>D342+1.5</f>
        <v/>
      </c>
      <c r="F342" s="9">
        <f>D342-1.5</f>
        <v/>
      </c>
      <c r="G342" s="25" t="n">
        <v>234.74</v>
      </c>
      <c r="H342" s="6">
        <f>IF(OR(K342&gt;E342,K342&lt;F342),"FAIL","PASS")</f>
        <v/>
      </c>
      <c r="I342" s="7">
        <f>IF(G342&gt;300,G342-360-D342,G342-D342)</f>
        <v/>
      </c>
      <c r="J342" s="8">
        <f>IF(G342&gt;300,G342-360,0)</f>
        <v/>
      </c>
      <c r="K342" s="8">
        <f>IF(J342=0,G342,J342)</f>
        <v/>
      </c>
    </row>
    <row r="343" ht="15" customHeight="1">
      <c r="A343" s="12" t="n">
        <v>32</v>
      </c>
      <c r="B343" s="12" t="n">
        <v>71</v>
      </c>
      <c r="C343" s="11" t="n">
        <v>301</v>
      </c>
      <c r="D343" s="5" t="n">
        <v>236.24</v>
      </c>
      <c r="E343" s="9">
        <f>D343+1.5</f>
        <v/>
      </c>
      <c r="F343" s="9">
        <f>D343-1.5</f>
        <v/>
      </c>
      <c r="G343" s="25" t="n">
        <v>236.16</v>
      </c>
      <c r="H343" s="6">
        <f>IF(OR(K343&gt;E343,K343&lt;F343),"FAIL","PASS")</f>
        <v/>
      </c>
      <c r="I343" s="7">
        <f>IF(G343&gt;300,G343-360-D343,G343-D343)</f>
        <v/>
      </c>
      <c r="J343" s="8">
        <f>IF(G343&gt;300,G343-360,0)</f>
        <v/>
      </c>
      <c r="K343" s="8">
        <f>IF(J343=0,G343,J343)</f>
        <v/>
      </c>
    </row>
    <row r="344" ht="15" customHeight="1">
      <c r="A344" s="12" t="n">
        <v>31</v>
      </c>
      <c r="B344" s="12" t="n">
        <v>69</v>
      </c>
      <c r="C344" s="11" t="n">
        <v>129</v>
      </c>
      <c r="D344" s="5" t="n">
        <v>237.65</v>
      </c>
      <c r="E344" s="9">
        <f>D344+1.5</f>
        <v/>
      </c>
      <c r="F344" s="9">
        <f>D344-1.5</f>
        <v/>
      </c>
      <c r="G344" s="25" t="n">
        <v>237.54</v>
      </c>
      <c r="H344" s="6">
        <f>IF(OR(K344&gt;E344,K344&lt;F344),"FAIL","PASS")</f>
        <v/>
      </c>
      <c r="I344" s="7">
        <f>IF(G344&gt;300,G344-360-D344,G344-D344)</f>
        <v/>
      </c>
      <c r="J344" s="8">
        <f>IF(G344&gt;300,G344-360,0)</f>
        <v/>
      </c>
      <c r="K344" s="8">
        <f>IF(J344=0,G344,J344)</f>
        <v/>
      </c>
    </row>
    <row r="345" ht="15" customHeight="1">
      <c r="A345" s="12" t="n">
        <v>30</v>
      </c>
      <c r="B345" s="12" t="n">
        <v>66</v>
      </c>
      <c r="C345" s="12" t="n">
        <v>317</v>
      </c>
      <c r="D345" s="5" t="n">
        <v>239.04</v>
      </c>
      <c r="E345" s="9">
        <f>D345+1.5</f>
        <v/>
      </c>
      <c r="F345" s="9">
        <f>D345-1.5</f>
        <v/>
      </c>
      <c r="G345" s="24" t="n">
        <v>238.91</v>
      </c>
      <c r="H345" s="6">
        <f>IF(OR(K345&gt;E345,K345&lt;F345),"FAIL","PASS")</f>
        <v/>
      </c>
      <c r="I345" s="7">
        <f>IF(G345&gt;300,G345-360-D345,G345-D345)</f>
        <v/>
      </c>
      <c r="J345" s="8">
        <f>IF(G345&gt;300,G345-360,0)</f>
        <v/>
      </c>
      <c r="K345" s="8">
        <f>IF(J345=0,G345,J345)</f>
        <v/>
      </c>
    </row>
    <row r="346" ht="15" customHeight="1">
      <c r="A346" s="12" t="n">
        <v>29</v>
      </c>
      <c r="B346" s="12" t="n">
        <v>64</v>
      </c>
      <c r="C346" s="12" t="n">
        <v>318</v>
      </c>
      <c r="D346" s="5" t="n">
        <v>240</v>
      </c>
      <c r="E346" s="9">
        <f>D346+1.5</f>
        <v/>
      </c>
      <c r="F346" s="9">
        <f>D346-1.5</f>
        <v/>
      </c>
      <c r="G346" s="24" t="n">
        <v>240.09</v>
      </c>
      <c r="H346" s="6">
        <f>IF(OR(K346&gt;E346,K346&lt;F346),"FAIL","PASS")</f>
        <v/>
      </c>
      <c r="I346" s="7">
        <f>IF(G346&gt;300,G346-360-D346,G346-D346)</f>
        <v/>
      </c>
      <c r="J346" s="8">
        <f>IF(G346&gt;300,G346-360,0)</f>
        <v/>
      </c>
      <c r="K346" s="8">
        <f>IF(J346=0,G346,J346)</f>
        <v/>
      </c>
    </row>
    <row r="347" ht="15" customHeight="1">
      <c r="A347" s="12" t="n">
        <v>28</v>
      </c>
      <c r="B347" s="12" t="n">
        <v>64</v>
      </c>
      <c r="C347" s="12" t="n">
        <v>146</v>
      </c>
      <c r="D347" s="5" t="n">
        <v>240.49</v>
      </c>
      <c r="E347" s="9">
        <f>D347+1.5</f>
        <v/>
      </c>
      <c r="F347" s="9">
        <f>D347-1.5</f>
        <v/>
      </c>
      <c r="G347" s="24" t="n">
        <v>240.38</v>
      </c>
      <c r="H347" s="6">
        <f>IF(OR(K347&gt;E347,K347&lt;F347),"FAIL","PASS")</f>
        <v/>
      </c>
      <c r="I347" s="7">
        <f>IF(G347&gt;300,G347-360-D347,G347-D347)</f>
        <v/>
      </c>
      <c r="J347" s="8">
        <f>IF(G347&gt;300,G347-360,0)</f>
        <v/>
      </c>
      <c r="K347" s="8">
        <f>IF(J347=0,G347,J347)</f>
        <v/>
      </c>
    </row>
    <row r="348" ht="15" customHeight="1">
      <c r="A348" s="12" t="n">
        <v>27</v>
      </c>
      <c r="B348" s="12" t="n">
        <v>61</v>
      </c>
      <c r="C348" s="12" t="n">
        <v>334</v>
      </c>
      <c r="D348" s="5" t="n">
        <v>241.94</v>
      </c>
      <c r="E348" s="9">
        <f>D348+1.5</f>
        <v/>
      </c>
      <c r="F348" s="9">
        <f>D348-1.5</f>
        <v/>
      </c>
      <c r="G348" s="24" t="n">
        <v>241.91</v>
      </c>
      <c r="H348" s="6">
        <f>IF(OR(K348&gt;E348,K348&lt;F348),"FAIL","PASS")</f>
        <v/>
      </c>
      <c r="I348" s="7">
        <f>IF(G348&gt;300,G348-360-D348,G348-D348)</f>
        <v/>
      </c>
      <c r="J348" s="8">
        <f>IF(G348&gt;300,G348-360,0)</f>
        <v/>
      </c>
      <c r="K348" s="8">
        <f>IF(J348=0,G348,J348)</f>
        <v/>
      </c>
    </row>
    <row r="349" ht="15" customHeight="1">
      <c r="A349" s="12" t="n">
        <v>26</v>
      </c>
      <c r="B349" s="12" t="n">
        <v>59</v>
      </c>
      <c r="C349" s="12" t="n">
        <v>162</v>
      </c>
      <c r="D349" s="5" t="n">
        <v>243.35</v>
      </c>
      <c r="E349" s="9">
        <f>D349+1.5</f>
        <v/>
      </c>
      <c r="F349" s="9">
        <f>D349-1.5</f>
        <v/>
      </c>
      <c r="G349" s="24" t="n">
        <v>243.39</v>
      </c>
      <c r="H349" s="6">
        <f>IF(OR(K349&gt;E349,K349&lt;F349),"FAIL","PASS")</f>
        <v/>
      </c>
      <c r="I349" s="7">
        <f>IF(G349&gt;300,G349-360-D349,G349-D349)</f>
        <v/>
      </c>
      <c r="J349" s="8">
        <f>IF(G349&gt;300,G349-360,0)</f>
        <v/>
      </c>
      <c r="K349" s="8">
        <f>IF(J349=0,G349,J349)</f>
        <v/>
      </c>
    </row>
    <row r="350" ht="15" customHeight="1">
      <c r="A350" s="12" t="n">
        <v>25</v>
      </c>
      <c r="B350" s="11" t="n">
        <v>56</v>
      </c>
      <c r="C350" s="12" t="n">
        <v>350</v>
      </c>
      <c r="D350" s="5" t="n">
        <v>244.8</v>
      </c>
      <c r="E350" s="9">
        <f>D350+1.5</f>
        <v/>
      </c>
      <c r="F350" s="9">
        <f>D350-1.5</f>
        <v/>
      </c>
      <c r="G350" s="24" t="n">
        <v>244.92</v>
      </c>
      <c r="H350" s="6">
        <f>IF(OR(K350&gt;E350,K350&lt;F350),"FAIL","PASS")</f>
        <v/>
      </c>
      <c r="I350" s="7">
        <f>IF(G350&gt;300,G350-360-D350,G350-D350)</f>
        <v/>
      </c>
      <c r="J350" s="8">
        <f>IF(G350&gt;300,G350-360,0)</f>
        <v/>
      </c>
      <c r="K350" s="8">
        <f>IF(J350=0,G350,J350)</f>
        <v/>
      </c>
    </row>
    <row r="351" ht="15" customHeight="1">
      <c r="A351" s="12" t="n">
        <v>24</v>
      </c>
      <c r="B351" s="15" t="n">
        <v>54</v>
      </c>
      <c r="C351" s="12" t="n">
        <v>179</v>
      </c>
      <c r="D351" s="5" t="n">
        <v>246.28</v>
      </c>
      <c r="E351" s="9">
        <f>D351+1.5</f>
        <v/>
      </c>
      <c r="F351" s="9">
        <f>D351-1.5</f>
        <v/>
      </c>
      <c r="G351" s="24" t="n">
        <v>246.35</v>
      </c>
      <c r="H351" s="6">
        <f>IF(OR(K351&gt;E351,K351&lt;F351),"FAIL","PASS")</f>
        <v/>
      </c>
      <c r="I351" s="7">
        <f>IF(G351&gt;300,G351-360-D351,G351-D351)</f>
        <v/>
      </c>
      <c r="J351" s="8">
        <f>IF(G351&gt;300,G351-360,0)</f>
        <v/>
      </c>
      <c r="K351" s="8">
        <f>IF(J351=0,G351,J351)</f>
        <v/>
      </c>
    </row>
    <row r="352" ht="15" customHeight="1">
      <c r="A352" s="12" t="n">
        <v>23</v>
      </c>
      <c r="B352" s="12" t="n">
        <v>52</v>
      </c>
      <c r="C352" s="12" t="n">
        <v>7</v>
      </c>
      <c r="D352" s="5" t="n">
        <v>247.75</v>
      </c>
      <c r="E352" s="9">
        <f>D352+1.5</f>
        <v/>
      </c>
      <c r="F352" s="9">
        <f>D352-1.5</f>
        <v/>
      </c>
      <c r="G352" s="24" t="n">
        <v>247.85</v>
      </c>
      <c r="H352" s="6">
        <f>IF(OR(K352&gt;E352,K352&lt;F352),"FAIL","PASS")</f>
        <v/>
      </c>
      <c r="I352" s="7">
        <f>IF(G352&gt;300,G352-360-D352,G352-D352)</f>
        <v/>
      </c>
      <c r="J352" s="8">
        <f>IF(G352&gt;300,G352-360,0)</f>
        <v/>
      </c>
      <c r="K352" s="8">
        <f>IF(J352=0,G352,J352)</f>
        <v/>
      </c>
    </row>
    <row r="353" ht="15" customHeight="1">
      <c r="A353" s="12" t="n">
        <v>22</v>
      </c>
      <c r="B353" s="12" t="n">
        <v>49</v>
      </c>
      <c r="C353" s="12" t="n">
        <v>195</v>
      </c>
      <c r="D353" s="5" t="n">
        <v>249.25</v>
      </c>
      <c r="E353" s="9">
        <f>D353+1.5</f>
        <v/>
      </c>
      <c r="F353" s="9">
        <f>D353-1.5</f>
        <v/>
      </c>
      <c r="G353" s="24" t="n">
        <v>249.39</v>
      </c>
      <c r="H353" s="6">
        <f>IF(OR(K353&gt;E353,K353&lt;F353),"FAIL","PASS")</f>
        <v/>
      </c>
      <c r="I353" s="7">
        <f>IF(G353&gt;300,G353-360-D353,G353-D353)</f>
        <v/>
      </c>
      <c r="J353" s="8">
        <f>IF(G353&gt;300,G353-360,0)</f>
        <v/>
      </c>
      <c r="K353" s="8">
        <f>IF(J353=0,G353,J353)</f>
        <v/>
      </c>
    </row>
    <row r="354" ht="15" customHeight="1">
      <c r="A354" s="12" t="n">
        <v>21</v>
      </c>
      <c r="B354" s="12" t="n">
        <v>47</v>
      </c>
      <c r="C354" s="12" t="n">
        <v>23</v>
      </c>
      <c r="D354" s="5" t="n">
        <v>250.73</v>
      </c>
      <c r="E354" s="9">
        <f>D354+1.5</f>
        <v/>
      </c>
      <c r="F354" s="9">
        <f>D354-1.5</f>
        <v/>
      </c>
      <c r="G354" s="24" t="n">
        <v>250.87</v>
      </c>
      <c r="H354" s="6">
        <f>IF(OR(K354&gt;E354,K354&lt;F354),"FAIL","PASS")</f>
        <v/>
      </c>
      <c r="I354" s="7">
        <f>IF(G354&gt;300,G354-360-D354,G354-D354)</f>
        <v/>
      </c>
      <c r="J354" s="8">
        <f>IF(G354&gt;300,G354-360,0)</f>
        <v/>
      </c>
      <c r="K354" s="8">
        <f>IF(J354=0,G354,J354)</f>
        <v/>
      </c>
    </row>
    <row r="355" ht="15" customHeight="1">
      <c r="A355" s="12" t="n">
        <v>20</v>
      </c>
      <c r="B355" s="12" t="n">
        <v>44</v>
      </c>
      <c r="C355" s="12" t="n">
        <v>212</v>
      </c>
      <c r="D355" s="5" t="n">
        <v>252.24</v>
      </c>
      <c r="E355" s="9">
        <f>D355+1.5</f>
        <v/>
      </c>
      <c r="F355" s="9">
        <f>D355-1.5</f>
        <v/>
      </c>
      <c r="G355" s="24" t="n">
        <v>252.34</v>
      </c>
      <c r="H355" s="6">
        <f>IF(OR(K355&gt;E355,K355&lt;F355),"FAIL","PASS")</f>
        <v/>
      </c>
      <c r="I355" s="7">
        <f>IF(G355&gt;300,G355-360-D355,G355-D355)</f>
        <v/>
      </c>
      <c r="J355" s="8">
        <f>IF(G355&gt;300,G355-360,0)</f>
        <v/>
      </c>
      <c r="K355" s="8">
        <f>IF(J355=0,G355,J355)</f>
        <v/>
      </c>
    </row>
    <row r="356" ht="15" customHeight="1">
      <c r="A356" s="12" t="n">
        <v>19</v>
      </c>
      <c r="B356" s="12" t="n">
        <v>42</v>
      </c>
      <c r="C356" s="12" t="n">
        <v>40</v>
      </c>
      <c r="D356" s="5" t="n">
        <v>253.76</v>
      </c>
      <c r="E356" s="9">
        <f>D356+1.5</f>
        <v/>
      </c>
      <c r="F356" s="9">
        <f>D356-1.5</f>
        <v/>
      </c>
      <c r="G356" s="24" t="n">
        <v>253.79</v>
      </c>
      <c r="H356" s="6">
        <f>IF(OR(K356&gt;E356,K356&lt;F356),"FAIL","PASS")</f>
        <v/>
      </c>
      <c r="I356" s="7">
        <f>IF(G356&gt;300,G356-360-D356,G356-D356)</f>
        <v/>
      </c>
      <c r="J356" s="8">
        <f>IF(G356&gt;300,G356-360,0)</f>
        <v/>
      </c>
      <c r="K356" s="8">
        <f>IF(J356=0,G356,J356)</f>
        <v/>
      </c>
    </row>
    <row r="357" ht="15" customHeight="1">
      <c r="A357" s="12" t="n">
        <v>18</v>
      </c>
      <c r="B357" s="12" t="n">
        <v>39</v>
      </c>
      <c r="C357" s="12" t="n">
        <v>228</v>
      </c>
      <c r="D357" s="5" t="n">
        <v>255.27</v>
      </c>
      <c r="E357" s="9">
        <f>D357+1.5</f>
        <v/>
      </c>
      <c r="F357" s="9">
        <f>D357-1.5</f>
        <v/>
      </c>
      <c r="G357" s="24" t="n">
        <v>255.29</v>
      </c>
      <c r="H357" s="6">
        <f>IF(OR(K357&gt;E357,K357&lt;F357),"FAIL","PASS")</f>
        <v/>
      </c>
      <c r="I357" s="7">
        <f>IF(G357&gt;300,G357-360-D357,G357-D357)</f>
        <v/>
      </c>
      <c r="J357" s="8">
        <f>IF(G357&gt;300,G357-360,0)</f>
        <v/>
      </c>
      <c r="K357" s="8">
        <f>IF(J357=0,G357,J357)</f>
        <v/>
      </c>
    </row>
    <row r="358" ht="15" customHeight="1">
      <c r="A358" s="12" t="n">
        <v>17</v>
      </c>
      <c r="B358" s="12" t="n">
        <v>37</v>
      </c>
      <c r="C358" s="12" t="n">
        <v>56</v>
      </c>
      <c r="D358" s="5" t="n">
        <v>256.75</v>
      </c>
      <c r="E358" s="9">
        <f>D358+1.5</f>
        <v/>
      </c>
      <c r="F358" s="9">
        <f>D358-1.5</f>
        <v/>
      </c>
      <c r="G358" s="24" t="n">
        <v>256.74</v>
      </c>
      <c r="H358" s="6">
        <f>IF(OR(K358&gt;E358,K358&lt;F358),"FAIL","PASS")</f>
        <v/>
      </c>
      <c r="I358" s="7">
        <f>IF(G358&gt;300,G358-360-D358,G358-D358)</f>
        <v/>
      </c>
      <c r="J358" s="8">
        <f>IF(G358&gt;300,G358-360,0)</f>
        <v/>
      </c>
      <c r="K358" s="8">
        <f>IF(J358=0,G358,J358)</f>
        <v/>
      </c>
    </row>
    <row r="359" ht="15" customHeight="1">
      <c r="A359" s="12" t="n">
        <v>16</v>
      </c>
      <c r="B359" s="12" t="n">
        <v>34</v>
      </c>
      <c r="C359" s="12" t="n">
        <v>245</v>
      </c>
      <c r="D359" s="5" t="n">
        <v>258.221</v>
      </c>
      <c r="E359" s="9">
        <f>D359+1.5</f>
        <v/>
      </c>
      <c r="F359" s="9">
        <f>D359-1.5</f>
        <v/>
      </c>
      <c r="G359" s="24" t="n">
        <v>258.19</v>
      </c>
      <c r="H359" s="6">
        <f>IF(OR(K359&gt;E359,K359&lt;F359),"FAIL","PASS")</f>
        <v/>
      </c>
      <c r="I359" s="7">
        <f>IF(G359&gt;300,G359-360-D359,G359-D359)</f>
        <v/>
      </c>
      <c r="J359" s="8">
        <f>IF(G359&gt;300,G359-360,0)</f>
        <v/>
      </c>
      <c r="K359" s="8">
        <f>IF(J359=0,G359,J359)</f>
        <v/>
      </c>
    </row>
    <row r="360" ht="15" customHeight="1">
      <c r="A360" s="12" t="n">
        <v>15</v>
      </c>
      <c r="B360" s="12" t="n">
        <v>32</v>
      </c>
      <c r="C360" s="12" t="n">
        <v>73</v>
      </c>
      <c r="D360" s="5" t="n">
        <v>259.7</v>
      </c>
      <c r="E360" s="9">
        <f>D360+1.5</f>
        <v/>
      </c>
      <c r="F360" s="9">
        <f>D360-1.5</f>
        <v/>
      </c>
      <c r="G360" s="24" t="n">
        <v>259.65</v>
      </c>
      <c r="H360" s="6">
        <f>IF(OR(K360&gt;E360,K360&lt;F360),"FAIL","PASS")</f>
        <v/>
      </c>
      <c r="I360" s="7">
        <f>IF(G360&gt;300,G360-360-D360,G360-D360)</f>
        <v/>
      </c>
      <c r="J360" s="8">
        <f>IF(G360&gt;300,G360-360,0)</f>
        <v/>
      </c>
      <c r="K360" s="8">
        <f>IF(J360=0,G360,J360)</f>
        <v/>
      </c>
    </row>
    <row r="361" ht="15" customHeight="1">
      <c r="A361" s="12" t="n">
        <v>14</v>
      </c>
      <c r="B361" s="12" t="n">
        <v>29</v>
      </c>
      <c r="C361" s="12" t="n">
        <v>261</v>
      </c>
      <c r="D361" s="5" t="n">
        <v>261.15</v>
      </c>
      <c r="E361" s="9">
        <f>D361+1.5</f>
        <v/>
      </c>
      <c r="F361" s="9">
        <f>D361-1.5</f>
        <v/>
      </c>
      <c r="G361" s="24" t="n">
        <v>261.07</v>
      </c>
      <c r="H361" s="6">
        <f>IF(OR(K361&gt;E361,K361&lt;F361),"FAIL","PASS")</f>
        <v/>
      </c>
      <c r="I361" s="7">
        <f>IF(G361&gt;300,G361-360-D361,G361-D361)</f>
        <v/>
      </c>
      <c r="J361" s="8">
        <f>IF(G361&gt;300,G361-360,0)</f>
        <v/>
      </c>
      <c r="K361" s="8">
        <f>IF(J361=0,G361,J361)</f>
        <v/>
      </c>
    </row>
    <row r="362" ht="15" customHeight="1">
      <c r="A362" s="12" t="n">
        <v>13</v>
      </c>
      <c r="B362" s="12" t="n">
        <v>27</v>
      </c>
      <c r="C362" s="12" t="n">
        <v>89</v>
      </c>
      <c r="D362" s="5" t="n">
        <v>262.61</v>
      </c>
      <c r="E362" s="9">
        <f>D362+1.5</f>
        <v/>
      </c>
      <c r="F362" s="9">
        <f>D362-1.5</f>
        <v/>
      </c>
      <c r="G362" s="24" t="n">
        <v>262.54</v>
      </c>
      <c r="H362" s="6">
        <f>IF(OR(K362&gt;E362,K362&lt;F362),"FAIL","PASS")</f>
        <v/>
      </c>
      <c r="I362" s="7">
        <f>IF(G362&gt;300,G362-360-D362,G362-D362)</f>
        <v/>
      </c>
      <c r="J362" s="8">
        <f>IF(G362&gt;300,G362-360,0)</f>
        <v/>
      </c>
      <c r="K362" s="8">
        <f>IF(J362=0,G362,J362)</f>
        <v/>
      </c>
    </row>
    <row r="363" ht="15" customHeight="1">
      <c r="A363" s="12" t="n">
        <v>12</v>
      </c>
      <c r="B363" s="12" t="n">
        <v>24</v>
      </c>
      <c r="C363" s="12" t="n">
        <v>278</v>
      </c>
      <c r="D363" s="5" t="n">
        <v>264.06</v>
      </c>
      <c r="E363" s="9">
        <f>D363+1.5</f>
        <v/>
      </c>
      <c r="F363" s="9">
        <f>D363-1.5</f>
        <v/>
      </c>
      <c r="G363" s="24" t="n">
        <v>264.02</v>
      </c>
      <c r="H363" s="6">
        <f>IF(OR(K363&gt;E363,K363&lt;F363),"FAIL","PASS")</f>
        <v/>
      </c>
      <c r="I363" s="7">
        <f>IF(G363&gt;300,G363-360-D363,G363-D363)</f>
        <v/>
      </c>
      <c r="J363" s="8">
        <f>IF(G363&gt;300,G363-360,0)</f>
        <v/>
      </c>
      <c r="K363" s="8">
        <f>IF(J363=0,G363,J363)</f>
        <v/>
      </c>
    </row>
    <row r="364" ht="15" customHeight="1">
      <c r="A364" s="12" t="n">
        <v>11</v>
      </c>
      <c r="B364" s="12" t="n">
        <v>22</v>
      </c>
      <c r="C364" s="12" t="n">
        <v>106</v>
      </c>
      <c r="D364" s="5" t="n">
        <v>265.49</v>
      </c>
      <c r="E364" s="9">
        <f>D364+1.5</f>
        <v/>
      </c>
      <c r="F364" s="9">
        <f>D364-1.5</f>
        <v/>
      </c>
      <c r="G364" s="24" t="n">
        <v>265.54</v>
      </c>
      <c r="H364" s="6">
        <f>IF(OR(K364&gt;E364,K364&lt;F364),"FAIL","PASS")</f>
        <v/>
      </c>
      <c r="I364" s="7">
        <f>IF(G364&gt;300,G364-360-D364,G364-D364)</f>
        <v/>
      </c>
      <c r="J364" s="8">
        <f>IF(G364&gt;300,G364-360,0)</f>
        <v/>
      </c>
      <c r="K364" s="8">
        <f>IF(J364=0,G364,J364)</f>
        <v/>
      </c>
    </row>
    <row r="365" ht="15" customHeight="1">
      <c r="A365" s="12" t="n">
        <v>10</v>
      </c>
      <c r="B365" s="12" t="n">
        <v>19</v>
      </c>
      <c r="C365" s="12" t="n">
        <v>294</v>
      </c>
      <c r="D365" s="5" t="n">
        <v>266.91</v>
      </c>
      <c r="E365" s="9">
        <f>D365+1.5</f>
        <v/>
      </c>
      <c r="F365" s="9">
        <f>D365-1.5</f>
        <v/>
      </c>
      <c r="G365" s="24" t="n">
        <v>266.98</v>
      </c>
      <c r="H365" s="6">
        <f>IF(OR(K365&gt;E365,K365&lt;F365),"FAIL","PASS")</f>
        <v/>
      </c>
      <c r="I365" s="7">
        <f>IF(G365&gt;300,G365-360-D365,G365-D365)</f>
        <v/>
      </c>
      <c r="J365" s="8">
        <f>IF(G365&gt;300,G365-360,0)</f>
        <v/>
      </c>
      <c r="K365" s="8">
        <f>IF(J365=0,G365,J365)</f>
        <v/>
      </c>
    </row>
    <row r="366" ht="15" customHeight="1">
      <c r="A366" s="12" t="n">
        <v>9</v>
      </c>
      <c r="B366" s="12" t="n">
        <v>17</v>
      </c>
      <c r="C366" s="11" t="n">
        <v>122</v>
      </c>
      <c r="D366" s="5" t="n">
        <v>268.29</v>
      </c>
      <c r="E366" s="9">
        <f>D366+1.5</f>
        <v/>
      </c>
      <c r="F366" s="9">
        <f>D366-1.5</f>
        <v/>
      </c>
      <c r="G366" s="24" t="n">
        <v>268.3</v>
      </c>
      <c r="H366" s="6">
        <f>IF(OR(K366&gt;E366,K366&lt;F366),"FAIL","PASS")</f>
        <v/>
      </c>
      <c r="I366" s="7">
        <f>IF(G366&gt;300,G366-360-D366,G366-D366)</f>
        <v/>
      </c>
      <c r="J366" s="8">
        <f>IF(G366&gt;300,G366-360,0)</f>
        <v/>
      </c>
      <c r="K366" s="8">
        <f>IF(J366=0,G366,J366)</f>
        <v/>
      </c>
    </row>
    <row r="367" ht="15" customHeight="1">
      <c r="A367" s="12" t="n">
        <v>8</v>
      </c>
      <c r="B367" s="12" t="n">
        <v>14</v>
      </c>
      <c r="C367" s="12" t="n">
        <v>311</v>
      </c>
      <c r="D367" s="5" t="n">
        <v>268.77</v>
      </c>
      <c r="E367" s="9">
        <f>D367+1.5</f>
        <v/>
      </c>
      <c r="F367" s="9">
        <f>D367-1.5</f>
        <v/>
      </c>
      <c r="G367" s="24" t="n">
        <v>269.87</v>
      </c>
      <c r="H367" s="6">
        <f>IF(OR(K367&gt;E367,K367&lt;F367),"FAIL","PASS")</f>
        <v/>
      </c>
      <c r="I367" s="7">
        <f>IF(G367&gt;300,G367-360-D367,G367-D367)</f>
        <v/>
      </c>
      <c r="J367" s="8">
        <f>IF(G367&gt;300,G367-360,0)</f>
        <v/>
      </c>
      <c r="K367" s="8">
        <f>IF(J367=0,G367,J367)</f>
        <v/>
      </c>
    </row>
    <row r="368" ht="15" customHeight="1">
      <c r="A368" s="12" t="n">
        <v>7</v>
      </c>
      <c r="B368" s="12" t="n">
        <v>14</v>
      </c>
      <c r="C368" s="12" t="n">
        <v>132</v>
      </c>
      <c r="D368" s="5" t="n">
        <v>270</v>
      </c>
      <c r="E368" s="9">
        <f>D368+1.5</f>
        <v/>
      </c>
      <c r="F368" s="9">
        <f>D368-1.5</f>
        <v/>
      </c>
      <c r="G368" s="24" t="n">
        <v>270.22</v>
      </c>
      <c r="H368" s="6">
        <f>IF(OR(K368&gt;E368,K368&lt;F368),"FAIL","PASS")</f>
        <v/>
      </c>
      <c r="I368" s="7">
        <f>IF(G368&gt;300,G368-360-D368,G368-D368)</f>
        <v/>
      </c>
      <c r="J368" s="8">
        <f>IF(G368&gt;300,G368-360,0)</f>
        <v/>
      </c>
      <c r="K368" s="8">
        <f>IF(J368=0,G368,J368)</f>
        <v/>
      </c>
    </row>
    <row r="369" ht="15" customHeight="1">
      <c r="A369" s="12" t="n">
        <v>6</v>
      </c>
      <c r="B369" s="12" t="n">
        <v>12</v>
      </c>
      <c r="C369" s="12" t="n">
        <v>139</v>
      </c>
      <c r="D369" s="5" t="n">
        <v>271.47</v>
      </c>
      <c r="E369" s="9">
        <f>D369+1.5</f>
        <v/>
      </c>
      <c r="F369" s="9">
        <f>D369-1.5</f>
        <v/>
      </c>
      <c r="G369" s="24" t="n">
        <v>271.56</v>
      </c>
      <c r="H369" s="6">
        <f>IF(OR(K369&gt;E369,K369&lt;F369),"FAIL","PASS")</f>
        <v/>
      </c>
      <c r="I369" s="7">
        <f>IF(G369&gt;300,G369-360-D369,G369-D369)</f>
        <v/>
      </c>
      <c r="J369" s="8">
        <f>IF(G369&gt;300,G369-360,0)</f>
        <v/>
      </c>
      <c r="K369" s="8">
        <f>IF(J369=0,G369,J369)</f>
        <v/>
      </c>
    </row>
    <row r="370" ht="15" customHeight="1">
      <c r="A370" s="12" t="n">
        <v>5</v>
      </c>
      <c r="B370" s="12" t="n">
        <v>9</v>
      </c>
      <c r="C370" s="12" t="n">
        <v>327</v>
      </c>
      <c r="D370" s="5" t="n">
        <v>273.05</v>
      </c>
      <c r="E370" s="9">
        <f>D370+1.5</f>
        <v/>
      </c>
      <c r="F370" s="9">
        <f>D370-1.5</f>
        <v/>
      </c>
      <c r="G370" s="24" t="n">
        <v>273.01</v>
      </c>
      <c r="H370" s="6">
        <f>IF(OR(K370&gt;E370,K370&lt;F370),"FAIL","PASS")</f>
        <v/>
      </c>
      <c r="I370" s="7">
        <f>IF(G370&gt;300,G370-360-D370,G370-D370)</f>
        <v/>
      </c>
      <c r="J370" s="8">
        <f>IF(G370&gt;300,G370-360,0)</f>
        <v/>
      </c>
      <c r="K370" s="8">
        <f>IF(J370=0,G370,J370)</f>
        <v/>
      </c>
    </row>
    <row r="371" ht="15" customHeight="1">
      <c r="A371" s="12" t="n">
        <v>4</v>
      </c>
      <c r="B371" s="12" t="n">
        <v>7</v>
      </c>
      <c r="C371" s="12" t="n">
        <v>155</v>
      </c>
      <c r="D371" s="14" t="n">
        <v>274.29</v>
      </c>
      <c r="E371" s="9">
        <f>D371+1.5</f>
        <v/>
      </c>
      <c r="F371" s="9">
        <f>D371-1.5</f>
        <v/>
      </c>
      <c r="G371" s="24" t="n">
        <v>274.14</v>
      </c>
      <c r="H371" s="6">
        <f>IF(OR(K371&gt;E371,K371&lt;F371),"FAIL","PASS")</f>
        <v/>
      </c>
      <c r="I371" s="7">
        <f>IF(G371&gt;300,G371-360-D371,G371-D371)</f>
        <v/>
      </c>
      <c r="J371" s="8">
        <f>IF(G371&gt;300,G371-360,0)</f>
        <v/>
      </c>
      <c r="K371" s="8">
        <f>IF(J371=0,G371,J371)</f>
        <v/>
      </c>
    </row>
    <row r="372" ht="15" customHeight="1">
      <c r="A372" s="12" t="n">
        <v>3</v>
      </c>
      <c r="B372" s="12" t="n">
        <v>4</v>
      </c>
      <c r="C372" s="12" t="n">
        <v>344</v>
      </c>
      <c r="D372" s="14" t="n">
        <v>275.41</v>
      </c>
      <c r="E372" s="9">
        <f>D372+1.5</f>
        <v/>
      </c>
      <c r="F372" s="9">
        <f>D372-1.5</f>
        <v/>
      </c>
      <c r="G372" s="24" t="n">
        <v>275.19</v>
      </c>
      <c r="H372" s="6">
        <f>IF(OR(K372&gt;E372,K372&lt;F372),"FAIL","PASS")</f>
        <v/>
      </c>
      <c r="I372" s="7">
        <f>IF(G372&gt;300,G372-360-D372,G372-D372)</f>
        <v/>
      </c>
      <c r="J372" s="8">
        <f>IF(G372&gt;300,G372-360,0)</f>
        <v/>
      </c>
      <c r="K372" s="8">
        <f>IF(J372=0,G372,J372)</f>
        <v/>
      </c>
    </row>
    <row r="373" ht="15" customHeight="1">
      <c r="A373" s="12" t="n">
        <v>2</v>
      </c>
      <c r="B373" s="12" t="n">
        <v>2</v>
      </c>
      <c r="C373" s="12" t="n">
        <v>172</v>
      </c>
      <c r="D373" s="5" t="n">
        <v>276.3</v>
      </c>
      <c r="E373" s="9">
        <f>D373+1.5</f>
        <v/>
      </c>
      <c r="F373" s="9">
        <f>D373-1.5</f>
        <v/>
      </c>
      <c r="G373" s="24" t="n">
        <v>276.22</v>
      </c>
      <c r="H373" s="6">
        <f>IF(OR(K373&gt;E373,K373&lt;F373),"FAIL","PASS")</f>
        <v/>
      </c>
      <c r="I373" s="7">
        <f>IF(G373&gt;300,G373-360-D373,G373-D373)</f>
        <v/>
      </c>
      <c r="J373" s="8">
        <f>IF(G373&gt;300,G373-360,0)</f>
        <v/>
      </c>
      <c r="K373" s="8">
        <f>IF(J373=0,G373,J373)</f>
        <v/>
      </c>
    </row>
    <row r="374" ht="15" customHeight="1">
      <c r="A374" s="11" t="inlineStr">
        <is>
          <t>1 (Rig)</t>
        </is>
      </c>
      <c r="B374" s="12" t="n">
        <v>0</v>
      </c>
      <c r="C374" s="13" t="n">
        <v>0</v>
      </c>
      <c r="D374" s="4" t="n">
        <v>277</v>
      </c>
      <c r="E374" s="4">
        <f>D374+1.5</f>
        <v/>
      </c>
      <c r="F374" s="4">
        <f>D374-1.5</f>
        <v/>
      </c>
      <c r="G374" s="24" t="n">
        <v>276.99</v>
      </c>
      <c r="H374" s="6">
        <f>IF(OR(K374&gt;E374,K374&lt;F374),"FAIL","PASS")</f>
        <v/>
      </c>
      <c r="I374" s="7">
        <f>IF(G374&gt;300,G374-360-D374,G374-D374)</f>
        <v/>
      </c>
      <c r="J374" s="8">
        <f>IF(G374&gt;300,G374-360,0)</f>
        <v/>
      </c>
      <c r="K374" s="8">
        <f>IF(J374=0,G374,J374)</f>
        <v/>
      </c>
    </row>
  </sheetData>
  <mergeCells count="22">
    <mergeCell ref="F4:G4"/>
    <mergeCell ref="H9:H10"/>
    <mergeCell ref="J9:J10"/>
    <mergeCell ref="F6:G6"/>
    <mergeCell ref="F3:G3"/>
    <mergeCell ref="D6:E6"/>
    <mergeCell ref="C9:C10"/>
    <mergeCell ref="E9:E10"/>
    <mergeCell ref="A2:I2"/>
    <mergeCell ref="F5:G5"/>
    <mergeCell ref="B9:B10"/>
    <mergeCell ref="A7:I8"/>
    <mergeCell ref="D9:D10"/>
    <mergeCell ref="F9:F10"/>
    <mergeCell ref="D4:E4"/>
    <mergeCell ref="D3:E3"/>
    <mergeCell ref="G9:G10"/>
    <mergeCell ref="I9:I10"/>
    <mergeCell ref="K9:K10"/>
    <mergeCell ref="A9:A10"/>
    <mergeCell ref="D5:E5"/>
    <mergeCell ref="A1:I1"/>
  </mergeCells>
  <conditionalFormatting sqref="H11:H374">
    <cfRule type="containsText" priority="1" operator="containsText" dxfId="5" text="PASS">
      <formula>NOT(ISERROR(SEARCH("PASS",H11)))</formula>
    </cfRule>
    <cfRule type="containsText" priority="2" operator="containsText" dxfId="4" text="FAIL">
      <formula>NOT(ISERROR(SEARCH("FAIL",H11)))</formula>
    </cfRule>
  </conditionalFormatting>
  <conditionalFormatting sqref="I11:I374">
    <cfRule type="expression" priority="3" dxfId="3">
      <formula>I11&lt;0</formula>
    </cfRule>
    <cfRule type="expression" priority="4" dxfId="2">
      <formula>I11&gt;1.5</formula>
    </cfRule>
    <cfRule type="expression" priority="5" dxfId="1">
      <formula>I11&gt;0</formula>
    </cfRule>
    <cfRule type="expression" priority="6" dxfId="0">
      <formula>I11&lt;-1.5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view="pageLayout" topLeftCell="A2" zoomScaleNormal="100" workbookViewId="0">
      <selection activeCell="I28" sqref="I28"/>
    </sheetView>
  </sheetViews>
  <sheetFormatPr baseColWidth="8" defaultRowHeight="12.75" outlineLevelCol="0"/>
  <cols>
    <col width="6.5703125" customWidth="1" style="1" min="1" max="1"/>
    <col width="8" customWidth="1" style="1" min="2" max="2"/>
    <col width="8.140625" customWidth="1" style="1" min="3" max="3"/>
    <col width="14.42578125" customWidth="1" style="1" min="4" max="4"/>
    <col width="8.42578125" customWidth="1" style="1" min="5" max="5"/>
    <col width="10.42578125" customWidth="1" style="1" min="6" max="6"/>
    <col width="9.140625" customWidth="1" style="1" min="7" max="7"/>
    <col width="8.7109375" customWidth="1" style="1" min="8" max="8"/>
    <col width="12.85546875" bestFit="1" customWidth="1" style="1" min="9" max="9"/>
    <col hidden="1" width="9.140625" customWidth="1" style="1" min="10" max="11"/>
    <col width="9.140625" customWidth="1" style="1" min="12" max="16384"/>
  </cols>
  <sheetData>
    <row r="1" ht="12.75" customHeight="1">
      <c r="A1" s="51" t="inlineStr">
        <is>
          <t>RESULT RECORD SHEET</t>
        </is>
      </c>
      <c r="B1" s="52" t="n"/>
      <c r="C1" s="52" t="n"/>
      <c r="D1" s="52" t="n"/>
      <c r="E1" s="52" t="n"/>
      <c r="F1" s="52" t="n"/>
      <c r="G1" s="52" t="n"/>
      <c r="H1" s="52" t="n"/>
      <c r="I1" s="53" t="n"/>
    </row>
    <row r="2" ht="15.75" customHeight="1">
      <c r="A2" s="54" t="inlineStr">
        <is>
          <t>FOR TESTING FLAP POSITION SENSOR</t>
        </is>
      </c>
      <c r="I2" s="55" t="n"/>
    </row>
    <row r="3">
      <c r="A3" s="17" t="n"/>
      <c r="B3" s="18" t="n"/>
      <c r="D3" s="35" t="inlineStr">
        <is>
          <t>Description</t>
        </is>
      </c>
      <c r="F3" s="36" t="inlineStr">
        <is>
          <t>Flap Position Sensor</t>
        </is>
      </c>
      <c r="H3" s="18" t="n"/>
      <c r="I3" s="19" t="n"/>
    </row>
    <row r="4">
      <c r="A4" s="17" t="n"/>
      <c r="B4" s="18" t="n"/>
      <c r="D4" s="35" t="inlineStr">
        <is>
          <t>Part Number</t>
        </is>
      </c>
      <c r="F4" s="36" t="inlineStr">
        <is>
          <t>18-1738-12</t>
        </is>
      </c>
      <c r="H4" s="18" t="n"/>
      <c r="I4" s="19" t="n"/>
    </row>
    <row r="5">
      <c r="A5" s="17" t="n"/>
      <c r="B5" s="18" t="n"/>
      <c r="D5" s="35" t="inlineStr">
        <is>
          <t>Serial Number</t>
        </is>
      </c>
      <c r="F5" s="36" t="n">
        <v>2708</v>
      </c>
      <c r="H5" s="18" t="n"/>
      <c r="I5" s="19" t="n"/>
    </row>
    <row r="6">
      <c r="A6" s="20" t="n"/>
      <c r="B6" s="21" t="n"/>
      <c r="C6" s="22" t="n"/>
      <c r="D6" s="38" t="inlineStr">
        <is>
          <t>Work Order</t>
        </is>
      </c>
      <c r="E6" s="56" t="n"/>
      <c r="F6" s="39" t="n">
        <v>512225469</v>
      </c>
      <c r="G6" s="56" t="n"/>
      <c r="H6" s="21" t="n"/>
      <c r="I6" s="23" t="n"/>
    </row>
    <row r="7">
      <c r="A7" s="57" t="inlineStr">
        <is>
          <t>ACCURACY FLAP</t>
        </is>
      </c>
      <c r="B7" s="52" t="n"/>
      <c r="C7" s="52" t="n"/>
      <c r="D7" s="52" t="n"/>
      <c r="E7" s="52" t="n"/>
      <c r="F7" s="52" t="n"/>
      <c r="G7" s="52" t="n"/>
      <c r="H7" s="52" t="n"/>
      <c r="I7" s="52" t="n"/>
    </row>
    <row r="8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</row>
    <row r="9" ht="12.75" customHeight="1">
      <c r="A9" s="42" t="inlineStr">
        <is>
          <t>TEST POINT</t>
        </is>
      </c>
      <c r="B9" s="42" t="inlineStr">
        <is>
          <t>INPUT TURNS</t>
        </is>
      </c>
      <c r="C9" s="42" t="inlineStr">
        <is>
          <t>SHAFT ANGLE</t>
        </is>
      </c>
      <c r="D9" s="45" t="inlineStr">
        <is>
          <t>SYNCRO ELECT. OUTPUT</t>
        </is>
      </c>
      <c r="E9" s="45" t="inlineStr">
        <is>
          <t>TOP LIMIT</t>
        </is>
      </c>
      <c r="F9" s="45" t="inlineStr">
        <is>
          <t>BOTTOM LIMIT</t>
        </is>
      </c>
      <c r="G9" s="45" t="inlineStr">
        <is>
          <t>RESULT</t>
        </is>
      </c>
      <c r="H9" s="42" t="inlineStr">
        <is>
          <t>REMARK</t>
        </is>
      </c>
      <c r="I9" s="58" t="inlineStr">
        <is>
          <t>DIFFERENCE</t>
        </is>
      </c>
      <c r="J9" s="37" t="inlineStr">
        <is>
          <t>REFERENCE</t>
        </is>
      </c>
      <c r="K9" s="37" t="inlineStr">
        <is>
          <t>REAL VALUE</t>
        </is>
      </c>
    </row>
    <row r="10">
      <c r="A10" s="59" t="n"/>
      <c r="B10" s="59" t="n"/>
      <c r="C10" s="59" t="n"/>
      <c r="D10" s="59" t="n"/>
      <c r="E10" s="59" t="n"/>
      <c r="F10" s="59" t="n"/>
      <c r="G10" s="59" t="n"/>
      <c r="H10" s="59" t="n"/>
      <c r="I10" s="59" t="n"/>
    </row>
    <row r="11" ht="15" customHeight="1">
      <c r="A11" s="2" t="n">
        <v>1</v>
      </c>
      <c r="B11" s="2" t="n">
        <v>0</v>
      </c>
      <c r="C11" s="2" t="n">
        <v>0</v>
      </c>
      <c r="D11" s="3" t="n">
        <v>277</v>
      </c>
      <c r="E11" s="4">
        <f>D11+1.5</f>
        <v/>
      </c>
      <c r="F11" s="4">
        <f>D11-1.5</f>
        <v/>
      </c>
      <c r="G11" s="24" t="n">
        <v>276.46</v>
      </c>
      <c r="H11" s="6">
        <f>IF(OR(K11&gt;E11,K11&lt;F11),"FAIL","PASS")</f>
        <v/>
      </c>
      <c r="I11" s="7">
        <f>G11-D11</f>
        <v/>
      </c>
      <c r="J11" s="8">
        <f>IF(G11&gt;300,G11-360,0)</f>
        <v/>
      </c>
      <c r="K11" s="8">
        <f>IF(J11=0,G11,J11)</f>
        <v/>
      </c>
    </row>
    <row r="12" ht="15" customHeight="1">
      <c r="A12" s="2" t="n">
        <v>2</v>
      </c>
      <c r="B12" s="2" t="n">
        <v>14</v>
      </c>
      <c r="C12" s="2" t="n">
        <v>132</v>
      </c>
      <c r="D12" s="3" t="n">
        <v>270</v>
      </c>
      <c r="E12" s="9">
        <f>D12+1.5</f>
        <v/>
      </c>
      <c r="F12" s="9">
        <f>D12-1.5</f>
        <v/>
      </c>
      <c r="G12" s="24" t="n">
        <v>269.45</v>
      </c>
      <c r="H12" s="6">
        <f>IF(OR(K12&gt;E12,K12&lt;F12),"FAIL","PASS")</f>
        <v/>
      </c>
      <c r="I12" s="7">
        <f>G12-D12</f>
        <v/>
      </c>
      <c r="J12" s="8">
        <f>IF(G12&gt;300,G12-360,0)</f>
        <v/>
      </c>
      <c r="K12" s="8">
        <f>IF(J12=0,G12,J12)</f>
        <v/>
      </c>
    </row>
    <row r="13" ht="15" customHeight="1">
      <c r="A13" s="2" t="n">
        <v>3</v>
      </c>
      <c r="B13" s="2" t="n">
        <v>64</v>
      </c>
      <c r="C13" s="2" t="n">
        <v>318</v>
      </c>
      <c r="D13" s="3" t="n">
        <v>240</v>
      </c>
      <c r="E13" s="9">
        <f>D13+1.5</f>
        <v/>
      </c>
      <c r="F13" s="9">
        <f>D13-1.5</f>
        <v/>
      </c>
      <c r="G13" s="24" t="n">
        <v>239.33</v>
      </c>
      <c r="H13" s="6">
        <f>IF(OR(K13&gt;E13,K13&lt;F13),"FAIL","PASS")</f>
        <v/>
      </c>
      <c r="I13" s="7">
        <f>G13-D13</f>
        <v/>
      </c>
      <c r="J13" s="8">
        <f>IF(G13&gt;300,G13-360,0)</f>
        <v/>
      </c>
      <c r="K13" s="8">
        <f>IF(J13=0,G13,J13)</f>
        <v/>
      </c>
    </row>
    <row r="14" ht="15" customHeight="1">
      <c r="A14" s="2" t="n">
        <v>4</v>
      </c>
      <c r="B14" s="2" t="n">
        <v>115</v>
      </c>
      <c r="C14" s="2" t="n">
        <v>156</v>
      </c>
      <c r="D14" s="3" t="n">
        <v>210</v>
      </c>
      <c r="E14" s="9">
        <f>D14+1.5</f>
        <v/>
      </c>
      <c r="F14" s="9">
        <f>D14-1.5</f>
        <v/>
      </c>
      <c r="G14" s="24" t="n">
        <v>208.9</v>
      </c>
      <c r="H14" s="6">
        <f>IF(OR(K14&gt;E14,K14&lt;F14),"FAIL","PASS")</f>
        <v/>
      </c>
      <c r="I14" s="7">
        <f>G14-D14</f>
        <v/>
      </c>
      <c r="J14" s="8">
        <f>IF(G14&gt;300,G14-360,0)</f>
        <v/>
      </c>
      <c r="K14" s="8">
        <f>IF(J14=0,G14,J14)</f>
        <v/>
      </c>
    </row>
    <row r="15" ht="15" customHeight="1">
      <c r="A15" s="2" t="n">
        <v>5</v>
      </c>
      <c r="B15" s="2" t="n">
        <v>142</v>
      </c>
      <c r="C15" s="2" t="n">
        <v>37</v>
      </c>
      <c r="D15" s="3" t="n">
        <v>180</v>
      </c>
      <c r="E15" s="9">
        <f>D15+1.5</f>
        <v/>
      </c>
      <c r="F15" s="9">
        <f>D15-1.5</f>
        <v/>
      </c>
      <c r="G15" s="24" t="n">
        <v>179.29</v>
      </c>
      <c r="H15" s="6">
        <f>IF(OR(K15&gt;E15,K15&lt;F15),"FAIL","PASS")</f>
        <v/>
      </c>
      <c r="I15" s="7">
        <f>G15-D15</f>
        <v/>
      </c>
      <c r="J15" s="8">
        <f>IF(G15&gt;300,G15-360,0)</f>
        <v/>
      </c>
      <c r="K15" s="8">
        <f>IF(J15=0,G15,J15)</f>
        <v/>
      </c>
    </row>
    <row r="16" ht="15" customHeight="1">
      <c r="A16" s="2" t="n">
        <v>6</v>
      </c>
      <c r="B16" s="2" t="n">
        <v>168</v>
      </c>
      <c r="C16" s="2" t="n">
        <v>278</v>
      </c>
      <c r="D16" s="3" t="n">
        <v>150</v>
      </c>
      <c r="E16" s="9">
        <f>D16+1.5</f>
        <v/>
      </c>
      <c r="F16" s="9">
        <f>D16-1.5</f>
        <v/>
      </c>
      <c r="G16" s="24" t="n">
        <v>149.29</v>
      </c>
      <c r="H16" s="6">
        <f>IF(OR(K16&gt;E16,K16&lt;F16),"FAIL","PASS")</f>
        <v/>
      </c>
      <c r="I16" s="7">
        <f>G16-D16</f>
        <v/>
      </c>
      <c r="J16" s="8">
        <f>IF(G16&gt;300,G16-360,0)</f>
        <v/>
      </c>
      <c r="K16" s="8">
        <f>IF(J16=0,G16,J16)</f>
        <v/>
      </c>
    </row>
    <row r="17" ht="15" customHeight="1">
      <c r="A17" s="2" t="n">
        <v>7</v>
      </c>
      <c r="B17" s="2" t="n">
        <v>207</v>
      </c>
      <c r="C17" s="2" t="n">
        <v>283</v>
      </c>
      <c r="D17" s="3" t="n">
        <v>113</v>
      </c>
      <c r="E17" s="9">
        <f>D17+1.5</f>
        <v/>
      </c>
      <c r="F17" s="9">
        <f>D17-1.5</f>
        <v/>
      </c>
      <c r="G17" s="24" t="n">
        <v>112.03</v>
      </c>
      <c r="H17" s="6">
        <f>IF(OR(K17&gt;E17,K17&lt;F17),"FAIL","PASS")</f>
        <v/>
      </c>
      <c r="I17" s="7">
        <f>G17-D17</f>
        <v/>
      </c>
      <c r="J17" s="8">
        <f>IF(G17&gt;300,G17-360,0)</f>
        <v/>
      </c>
      <c r="K17" s="8">
        <f>IF(J17=0,G17,J17)</f>
        <v/>
      </c>
    </row>
    <row r="18" ht="15" customHeight="1">
      <c r="A18" s="2" t="n">
        <v>8</v>
      </c>
      <c r="B18" s="2" t="n">
        <v>243</v>
      </c>
      <c r="C18" s="2" t="n">
        <v>74</v>
      </c>
      <c r="D18" s="3" t="n">
        <v>76</v>
      </c>
      <c r="E18" s="9">
        <f>D18+1.5</f>
        <v/>
      </c>
      <c r="F18" s="9">
        <f>D18-1.5</f>
        <v/>
      </c>
      <c r="G18" s="24" t="n">
        <v>75.17</v>
      </c>
      <c r="H18" s="6">
        <f>IF(OR(K18&gt;E18,K18&lt;F18),"FAIL","PASS")</f>
        <v/>
      </c>
      <c r="I18" s="7">
        <f>G18-D18</f>
        <v/>
      </c>
      <c r="J18" s="8">
        <f>IF(G18&gt;300,G18-360,0)</f>
        <v/>
      </c>
      <c r="K18" s="8">
        <f>IF(J18=0,G18,J18)</f>
        <v/>
      </c>
    </row>
    <row r="19" ht="15" customHeight="1">
      <c r="A19" s="2" t="n">
        <v>9</v>
      </c>
      <c r="B19" s="2" t="n">
        <v>278</v>
      </c>
      <c r="C19" s="2" t="n">
        <v>238</v>
      </c>
      <c r="D19" s="3" t="n">
        <v>37</v>
      </c>
      <c r="E19" s="9">
        <f>D19+1.5</f>
        <v/>
      </c>
      <c r="F19" s="9">
        <f>D19-1.5</f>
        <v/>
      </c>
      <c r="G19" s="24" t="n">
        <v>36.31</v>
      </c>
      <c r="H19" s="6">
        <f>IF(OR(K19&gt;E19,K19&lt;F19),"FAIL","PASS")</f>
        <v/>
      </c>
      <c r="I19" s="7">
        <f>G19-D19</f>
        <v/>
      </c>
      <c r="J19" s="8">
        <f>IF(G19&gt;300,G19-360,0)</f>
        <v/>
      </c>
      <c r="K19" s="8">
        <f>IF(J19=0,G19,J19)</f>
        <v/>
      </c>
    </row>
    <row r="20" ht="15" customHeight="1">
      <c r="A20" s="2" t="n">
        <v>10</v>
      </c>
      <c r="B20" s="2" t="n">
        <v>418</v>
      </c>
      <c r="C20" s="2" t="n">
        <v>216</v>
      </c>
      <c r="D20" s="3" t="n">
        <v>0</v>
      </c>
      <c r="E20" s="9">
        <f>D20+1.5</f>
        <v/>
      </c>
      <c r="F20" s="9">
        <f>D20-1.5</f>
        <v/>
      </c>
      <c r="G20" s="24" t="n">
        <v>359.84</v>
      </c>
      <c r="H20" s="6">
        <f>IF(OR(K20&gt;E20,K20&lt;F20),"FAIL","PASS")</f>
        <v/>
      </c>
      <c r="I20" s="7">
        <f>IF(G20&gt;300,G20-360-D20,G20-D20)</f>
        <v/>
      </c>
      <c r="J20" s="8">
        <f>IF(G20&gt;300,G20-360,0)</f>
        <v/>
      </c>
      <c r="K20" s="8">
        <f>IF(J20=0,G20,J20)</f>
        <v/>
      </c>
    </row>
    <row r="21" ht="15" customHeight="1">
      <c r="A21" s="2" t="n">
        <v>11</v>
      </c>
      <c r="B21" s="2" t="n">
        <v>425</v>
      </c>
      <c r="C21" s="2" t="n">
        <v>282</v>
      </c>
      <c r="D21" s="3" t="n">
        <v>-6</v>
      </c>
      <c r="E21" s="9">
        <f>D21+1.5</f>
        <v/>
      </c>
      <c r="F21" s="9">
        <f>D21-1.5</f>
        <v/>
      </c>
      <c r="G21" s="24" t="n">
        <v>353.98</v>
      </c>
      <c r="H21" s="6">
        <f>IF(OR(K21&gt;E21,K21&lt;F21),"FAIL","PASS")</f>
        <v/>
      </c>
      <c r="I21" s="7">
        <f>IF(G21&gt;300,G21-360-D21,G21-D21)</f>
        <v/>
      </c>
      <c r="J21" s="8">
        <f>IF(G21&gt;300,G21-360,0)</f>
        <v/>
      </c>
      <c r="K21" s="8">
        <f>IF(J21=0,G21,J21)</f>
        <v/>
      </c>
    </row>
    <row r="24" ht="15" customHeight="1">
      <c r="A24" s="2" t="n">
        <v>11</v>
      </c>
      <c r="B24" s="2" t="n">
        <v>425</v>
      </c>
      <c r="C24" s="2" t="n">
        <v>282</v>
      </c>
      <c r="D24" s="3" t="n">
        <v>-6</v>
      </c>
      <c r="E24" s="9">
        <f>D24+1.5</f>
        <v/>
      </c>
      <c r="F24" s="9">
        <f>D24-1.5</f>
        <v/>
      </c>
      <c r="G24" s="27">
        <f>G21</f>
        <v/>
      </c>
      <c r="H24" s="6">
        <f>IF(OR(K24&gt;E24,K24&lt;F24),"FAIL","PASS")</f>
        <v/>
      </c>
      <c r="I24" s="7">
        <f>IF(G24&gt;300,G24-360-D24,G24-D24)</f>
        <v/>
      </c>
      <c r="J24" s="8">
        <f>IF(G24&gt;300,G24-360,0)</f>
        <v/>
      </c>
      <c r="K24" s="8">
        <f>IF(J24=0,G24,J24)</f>
        <v/>
      </c>
    </row>
    <row r="25" ht="15" customHeight="1">
      <c r="A25" s="2" t="n">
        <v>10</v>
      </c>
      <c r="B25" s="2" t="n">
        <v>418</v>
      </c>
      <c r="C25" s="2" t="n">
        <v>216</v>
      </c>
      <c r="D25" s="3" t="n">
        <v>0</v>
      </c>
      <c r="E25" s="9">
        <f>D25+1.5</f>
        <v/>
      </c>
      <c r="F25" s="9">
        <f>D25-1.5</f>
        <v/>
      </c>
      <c r="G25" s="24" t="n">
        <v>0.49</v>
      </c>
      <c r="H25" s="6">
        <f>IF(OR(K25&gt;E25,K25&lt;F25),"FAIL","PASS")</f>
        <v/>
      </c>
      <c r="I25" s="7">
        <f>IF(G25&gt;300,G25-360-D25,G25-D25)</f>
        <v/>
      </c>
      <c r="J25" s="8">
        <f>IF(G25&gt;300,G25-360,0)</f>
        <v/>
      </c>
      <c r="K25" s="8">
        <f>IF(J25=0,G25,J25)</f>
        <v/>
      </c>
    </row>
    <row r="26" ht="15" customHeight="1">
      <c r="A26" s="2" t="n">
        <v>9</v>
      </c>
      <c r="B26" s="2" t="n">
        <v>278</v>
      </c>
      <c r="C26" s="2" t="n">
        <v>238</v>
      </c>
      <c r="D26" s="3" t="n">
        <v>37</v>
      </c>
      <c r="E26" s="9">
        <f>D26+1.5</f>
        <v/>
      </c>
      <c r="F26" s="9">
        <f>D26-1.5</f>
        <v/>
      </c>
      <c r="G26" s="24" t="n">
        <v>36.84</v>
      </c>
      <c r="H26" s="6">
        <f>IF(OR(K26&gt;E26,K26&lt;F26),"FAIL","PASS")</f>
        <v/>
      </c>
      <c r="I26" s="7">
        <f>IF(G26&gt;300,G26-360-D26,G26-D26)</f>
        <v/>
      </c>
      <c r="J26" s="8">
        <f>IF(G26&gt;300,G26-360,0)</f>
        <v/>
      </c>
      <c r="K26" s="8">
        <f>IF(J26=0,G26,J26)</f>
        <v/>
      </c>
    </row>
    <row r="27" ht="15" customHeight="1">
      <c r="A27" s="2" t="n">
        <v>8</v>
      </c>
      <c r="B27" s="2" t="n">
        <v>243</v>
      </c>
      <c r="C27" s="2" t="n">
        <v>74</v>
      </c>
      <c r="D27" s="3" t="n">
        <v>76</v>
      </c>
      <c r="E27" s="9">
        <f>D27+1.5</f>
        <v/>
      </c>
      <c r="F27" s="9">
        <f>D27-1.5</f>
        <v/>
      </c>
      <c r="G27" s="24" t="n">
        <v>76.05</v>
      </c>
      <c r="H27" s="6">
        <f>IF(OR(K27&gt;E27,K27&lt;F27),"FAIL","PASS")</f>
        <v/>
      </c>
      <c r="I27" s="7">
        <f>IF(G27&gt;300,G27-360-D27,G27-D27)</f>
        <v/>
      </c>
      <c r="J27" s="8">
        <f>IF(G27&gt;300,G27-360,0)</f>
        <v/>
      </c>
      <c r="K27" s="8">
        <f>IF(J27=0,G27,J27)</f>
        <v/>
      </c>
    </row>
    <row r="28" ht="15" customHeight="1">
      <c r="A28" s="2" t="n">
        <v>7</v>
      </c>
      <c r="B28" s="2" t="n">
        <v>207</v>
      </c>
      <c r="C28" s="2" t="n">
        <v>283</v>
      </c>
      <c r="D28" s="3" t="n">
        <v>113</v>
      </c>
      <c r="E28" s="9">
        <f>D28+1.5</f>
        <v/>
      </c>
      <c r="F28" s="9">
        <f>D28-1.5</f>
        <v/>
      </c>
      <c r="G28" s="24" t="n">
        <v>112.69</v>
      </c>
      <c r="H28" s="6">
        <f>IF(OR(K28&gt;E28,K28&lt;F28),"FAIL","PASS")</f>
        <v/>
      </c>
      <c r="I28" s="7">
        <f>IF(G28&gt;300,G28-360-D28,G28-D28)</f>
        <v/>
      </c>
      <c r="J28" s="8">
        <f>IF(G28&gt;300,G28-360,0)</f>
        <v/>
      </c>
      <c r="K28" s="8">
        <f>IF(J28=0,G28,J28)</f>
        <v/>
      </c>
    </row>
    <row r="29" ht="15" customHeight="1">
      <c r="A29" s="2" t="n">
        <v>6</v>
      </c>
      <c r="B29" s="2" t="n">
        <v>168</v>
      </c>
      <c r="C29" s="2" t="n">
        <v>278</v>
      </c>
      <c r="D29" s="3" t="n">
        <v>150</v>
      </c>
      <c r="E29" s="9">
        <f>D29+1.5</f>
        <v/>
      </c>
      <c r="F29" s="9">
        <f>D29-1.5</f>
        <v/>
      </c>
      <c r="G29" s="24" t="n">
        <v>149.65</v>
      </c>
      <c r="H29" s="6">
        <f>IF(OR(K29&gt;E29,K29&lt;F29),"FAIL","PASS")</f>
        <v/>
      </c>
      <c r="I29" s="7">
        <f>IF(G29&gt;300,G29-360-D29,G29-D29)</f>
        <v/>
      </c>
      <c r="J29" s="8">
        <f>IF(G29&gt;300,G29-360,0)</f>
        <v/>
      </c>
      <c r="K29" s="8">
        <f>IF(J29=0,G29,J29)</f>
        <v/>
      </c>
    </row>
    <row r="30" ht="15" customHeight="1">
      <c r="A30" s="2" t="n">
        <v>5</v>
      </c>
      <c r="B30" s="2" t="n">
        <v>142</v>
      </c>
      <c r="C30" s="2" t="n">
        <v>37</v>
      </c>
      <c r="D30" s="3" t="n">
        <v>180</v>
      </c>
      <c r="E30" s="9">
        <f>D30+1.5</f>
        <v/>
      </c>
      <c r="F30" s="9">
        <f>D30-1.5</f>
        <v/>
      </c>
      <c r="G30" s="24" t="n">
        <v>179.82</v>
      </c>
      <c r="H30" s="6">
        <f>IF(OR(K30&gt;E30,K30&lt;F30),"FAIL","PASS")</f>
        <v/>
      </c>
      <c r="I30" s="7">
        <f>IF(G30&gt;300,G30-360-D30,G30-D30)</f>
        <v/>
      </c>
      <c r="J30" s="8">
        <f>IF(G30&gt;300,G30-360,0)</f>
        <v/>
      </c>
      <c r="K30" s="8">
        <f>IF(J30=0,G30,J30)</f>
        <v/>
      </c>
    </row>
    <row r="31" ht="15" customHeight="1">
      <c r="A31" s="2" t="n">
        <v>4</v>
      </c>
      <c r="B31" s="2" t="n">
        <v>115</v>
      </c>
      <c r="C31" s="2" t="n">
        <v>156</v>
      </c>
      <c r="D31" s="3" t="n">
        <v>210</v>
      </c>
      <c r="E31" s="9">
        <f>D31+1.5</f>
        <v/>
      </c>
      <c r="F31" s="9">
        <f>D31-1.5</f>
        <v/>
      </c>
      <c r="G31" s="24" t="n">
        <v>209.6</v>
      </c>
      <c r="H31" s="6">
        <f>IF(OR(K31&gt;E31,K31&lt;F31),"FAIL","PASS")</f>
        <v/>
      </c>
      <c r="I31" s="7">
        <f>IF(G31&gt;300,G31-360-D31,G31-D31)</f>
        <v/>
      </c>
      <c r="J31" s="8">
        <f>IF(G31&gt;300,G31-360,0)</f>
        <v/>
      </c>
      <c r="K31" s="8">
        <f>IF(J31=0,G31,J31)</f>
        <v/>
      </c>
    </row>
    <row r="32" ht="15" customHeight="1">
      <c r="A32" s="2" t="n">
        <v>3</v>
      </c>
      <c r="B32" s="2" t="n">
        <v>64</v>
      </c>
      <c r="C32" s="2" t="n">
        <v>318</v>
      </c>
      <c r="D32" s="3" t="n">
        <v>240</v>
      </c>
      <c r="E32" s="9">
        <f>D32+1.5</f>
        <v/>
      </c>
      <c r="F32" s="9">
        <f>D32-1.5</f>
        <v/>
      </c>
      <c r="G32" s="24" t="n">
        <v>239.41</v>
      </c>
      <c r="H32" s="6">
        <f>IF(OR(K32&gt;E32,K32&lt;F32),"FAIL","PASS")</f>
        <v/>
      </c>
      <c r="I32" s="7">
        <f>IF(G32&gt;300,G32-360-D32,G32-D32)</f>
        <v/>
      </c>
      <c r="J32" s="8">
        <f>IF(G32&gt;300,G32-360,0)</f>
        <v/>
      </c>
      <c r="K32" s="8">
        <f>IF(J32=0,G32,J32)</f>
        <v/>
      </c>
    </row>
    <row r="33" ht="15" customHeight="1">
      <c r="A33" s="2" t="n">
        <v>2</v>
      </c>
      <c r="B33" s="2" t="n">
        <v>14</v>
      </c>
      <c r="C33" s="2" t="n">
        <v>132</v>
      </c>
      <c r="D33" s="3" t="n">
        <v>270</v>
      </c>
      <c r="E33" s="9">
        <f>D33+1.5</f>
        <v/>
      </c>
      <c r="F33" s="9">
        <f>D33-1.5</f>
        <v/>
      </c>
      <c r="G33" s="24" t="n">
        <v>269.81</v>
      </c>
      <c r="H33" s="6">
        <f>IF(OR(K33&gt;E33,K33&lt;F33),"FAIL","PASS")</f>
        <v/>
      </c>
      <c r="I33" s="7">
        <f>IF(G33&gt;300,G33-360-D33,G33-D33)</f>
        <v/>
      </c>
      <c r="J33" s="8">
        <f>IF(G33&gt;300,G33-360,0)</f>
        <v/>
      </c>
      <c r="K33" s="8">
        <f>IF(J33=0,G33,J33)</f>
        <v/>
      </c>
    </row>
    <row r="34" ht="15" customHeight="1">
      <c r="A34" s="2" t="n">
        <v>1</v>
      </c>
      <c r="B34" s="2" t="n">
        <v>0</v>
      </c>
      <c r="C34" s="2" t="n">
        <v>0</v>
      </c>
      <c r="D34" s="3" t="n">
        <v>277</v>
      </c>
      <c r="E34" s="4">
        <f>D34+1.5</f>
        <v/>
      </c>
      <c r="F34" s="4">
        <f>D34-1.5</f>
        <v/>
      </c>
      <c r="G34" s="24" t="n">
        <v>276.9</v>
      </c>
      <c r="H34" s="6">
        <f>IF(OR(K34&gt;E34,K34&lt;F34),"FAIL","PASS")</f>
        <v/>
      </c>
      <c r="I34" s="7">
        <f>IF(G34&gt;300,G34-360-D34,G34-D34)</f>
        <v/>
      </c>
      <c r="J34" s="8">
        <f>IF(G34&gt;300,G34-360,0)</f>
        <v/>
      </c>
      <c r="K34" s="8">
        <f>IF(J34=0,G34,J34)</f>
        <v/>
      </c>
    </row>
  </sheetData>
  <mergeCells count="22">
    <mergeCell ref="F4:G4"/>
    <mergeCell ref="H9:H10"/>
    <mergeCell ref="J9:J10"/>
    <mergeCell ref="F6:G6"/>
    <mergeCell ref="F3:G3"/>
    <mergeCell ref="C9:C10"/>
    <mergeCell ref="D6:E6"/>
    <mergeCell ref="E9:E10"/>
    <mergeCell ref="A2:I2"/>
    <mergeCell ref="F5:G5"/>
    <mergeCell ref="B9:B10"/>
    <mergeCell ref="D9:D10"/>
    <mergeCell ref="A7:I8"/>
    <mergeCell ref="F9:F10"/>
    <mergeCell ref="D4:E4"/>
    <mergeCell ref="D3:E3"/>
    <mergeCell ref="G9:G10"/>
    <mergeCell ref="I9:I10"/>
    <mergeCell ref="K9:K10"/>
    <mergeCell ref="A9:A10"/>
    <mergeCell ref="D5:E5"/>
    <mergeCell ref="A1:I1"/>
  </mergeCells>
  <conditionalFormatting sqref="H11:H21">
    <cfRule type="containsText" priority="33" operator="containsText" dxfId="5" text="PASS">
      <formula>NOT(ISERROR(SEARCH("PASS",H11)))</formula>
    </cfRule>
    <cfRule type="containsText" priority="34" operator="containsText" dxfId="4" text="FAIL">
      <formula>NOT(ISERROR(SEARCH("FAIL",H11)))</formula>
    </cfRule>
  </conditionalFormatting>
  <conditionalFormatting sqref="H24:H34">
    <cfRule type="containsText" priority="5" operator="containsText" dxfId="5" text="PASS">
      <formula>NOT(ISERROR(SEARCH("PASS",H24)))</formula>
    </cfRule>
    <cfRule type="containsText" priority="6" operator="containsText" dxfId="4" text="FAIL">
      <formula>NOT(ISERROR(SEARCH("FAIL",H24)))</formula>
    </cfRule>
  </conditionalFormatting>
  <conditionalFormatting sqref="I11:I21">
    <cfRule type="expression" priority="25" dxfId="3">
      <formula>I11&lt;0</formula>
    </cfRule>
    <cfRule type="expression" priority="26" dxfId="2">
      <formula>I11&gt;1.5</formula>
    </cfRule>
    <cfRule type="expression" priority="27" dxfId="1">
      <formula>I11&gt;0</formula>
    </cfRule>
    <cfRule type="expression" priority="28" dxfId="0">
      <formula>I11&lt;-1.5</formula>
    </cfRule>
  </conditionalFormatting>
  <conditionalFormatting sqref="I24:I34">
    <cfRule type="expression" priority="1" dxfId="3">
      <formula>I24&lt;0</formula>
    </cfRule>
    <cfRule type="expression" priority="2" dxfId="2">
      <formula>I24&gt;1.5</formula>
    </cfRule>
    <cfRule type="expression" priority="3" dxfId="1">
      <formula>I24&gt;0</formula>
    </cfRule>
    <cfRule type="expression" priority="4" dxfId="0">
      <formula>I24&lt;-1.5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4"/>
  <sheetViews>
    <sheetView view="pageLayout" zoomScale="110" zoomScaleNormal="100" zoomScalePageLayoutView="110" workbookViewId="0">
      <selection activeCell="F6" sqref="F6:G6"/>
    </sheetView>
  </sheetViews>
  <sheetFormatPr baseColWidth="8" defaultRowHeight="12.75" outlineLevelCol="0"/>
  <cols>
    <col width="6.5703125" customWidth="1" style="1" min="1" max="1"/>
    <col width="8" customWidth="1" style="1" min="2" max="2"/>
    <col width="8.140625" customWidth="1" style="1" min="3" max="3"/>
    <col width="14.42578125" customWidth="1" style="1" min="4" max="4"/>
    <col width="8.42578125" customWidth="1" style="1" min="5" max="5"/>
    <col width="10.42578125" customWidth="1" style="1" min="6" max="6"/>
    <col width="9.140625" customWidth="1" style="1" min="7" max="8"/>
    <col width="13" bestFit="1" customWidth="1" style="1" min="9" max="9"/>
    <col hidden="1" width="8.7109375" customWidth="1" style="1" min="10" max="10"/>
    <col hidden="1" width="1.5703125" customWidth="1" style="1" min="11" max="11"/>
    <col width="9.140625" customWidth="1" style="1" min="12" max="16384"/>
  </cols>
  <sheetData>
    <row r="1" ht="15.75" customHeight="1">
      <c r="A1" s="51" t="inlineStr">
        <is>
          <t>RESULT RECORD SHEET</t>
        </is>
      </c>
      <c r="B1" s="52" t="n"/>
      <c r="C1" s="52" t="n"/>
      <c r="D1" s="52" t="n"/>
      <c r="E1" s="52" t="n"/>
      <c r="F1" s="52" t="n"/>
      <c r="G1" s="52" t="n"/>
      <c r="H1" s="52" t="n"/>
      <c r="I1" s="53" t="n"/>
    </row>
    <row r="2" ht="15.75" customHeight="1">
      <c r="A2" s="54" t="inlineStr">
        <is>
          <t>FOR TESTING FLAP POSITION SENSOR</t>
        </is>
      </c>
      <c r="I2" s="55" t="n"/>
    </row>
    <row r="3" ht="12.75" customHeight="1">
      <c r="A3" s="17" t="n"/>
      <c r="B3" s="18" t="n"/>
      <c r="D3" s="35" t="inlineStr">
        <is>
          <t>Description</t>
        </is>
      </c>
      <c r="F3" s="36" t="inlineStr">
        <is>
          <t>Flap Position Sensor</t>
        </is>
      </c>
      <c r="H3" s="18" t="n"/>
      <c r="I3" s="19" t="n"/>
    </row>
    <row r="4">
      <c r="A4" s="17" t="n"/>
      <c r="B4" s="18" t="n"/>
      <c r="D4" s="35" t="inlineStr">
        <is>
          <t>Part Number</t>
        </is>
      </c>
      <c r="F4" s="36" t="inlineStr">
        <is>
          <t>18-1738-12</t>
        </is>
      </c>
      <c r="H4" s="18" t="n"/>
      <c r="I4" s="19" t="n"/>
    </row>
    <row r="5">
      <c r="A5" s="17" t="n"/>
      <c r="B5" s="18" t="n"/>
      <c r="D5" s="35" t="inlineStr">
        <is>
          <t>Serial Number</t>
        </is>
      </c>
      <c r="F5" s="36" t="n">
        <v>2708</v>
      </c>
      <c r="H5" s="18" t="n"/>
      <c r="I5" s="19" t="n"/>
    </row>
    <row r="6">
      <c r="A6" s="20" t="n"/>
      <c r="B6" s="21" t="n"/>
      <c r="C6" s="22" t="n"/>
      <c r="D6" s="38" t="inlineStr">
        <is>
          <t>Work Order</t>
        </is>
      </c>
      <c r="E6" s="56" t="n"/>
      <c r="F6" s="39" t="n">
        <v>512225469</v>
      </c>
      <c r="G6" s="56" t="n"/>
      <c r="H6" s="21" t="n"/>
      <c r="I6" s="23" t="n"/>
    </row>
    <row r="7">
      <c r="A7" s="57" t="inlineStr">
        <is>
          <t>CAM OUTPUT FLAP</t>
        </is>
      </c>
      <c r="B7" s="52" t="n"/>
      <c r="C7" s="52" t="n"/>
      <c r="D7" s="52" t="n"/>
      <c r="E7" s="52" t="n"/>
      <c r="F7" s="52" t="n"/>
      <c r="G7" s="52" t="n"/>
      <c r="H7" s="52" t="n"/>
      <c r="I7" s="52" t="n"/>
    </row>
    <row r="8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</row>
    <row r="9" ht="12.75" customHeight="1">
      <c r="A9" s="42" t="inlineStr">
        <is>
          <t>TEST POINT</t>
        </is>
      </c>
      <c r="B9" s="42" t="inlineStr">
        <is>
          <t>INPUT TURNS</t>
        </is>
      </c>
      <c r="C9" s="42" t="inlineStr">
        <is>
          <t>SHAFT ANGLE</t>
        </is>
      </c>
      <c r="D9" s="45" t="inlineStr">
        <is>
          <t>SYNCRO ELECT. OUTPUT</t>
        </is>
      </c>
      <c r="E9" s="45" t="inlineStr">
        <is>
          <t>TOP LIMIT</t>
        </is>
      </c>
      <c r="F9" s="45" t="inlineStr">
        <is>
          <t>BOTTOM LIMIT</t>
        </is>
      </c>
      <c r="G9" s="45" t="inlineStr">
        <is>
          <t>RESULT</t>
        </is>
      </c>
      <c r="H9" s="42" t="inlineStr">
        <is>
          <t>REMARK</t>
        </is>
      </c>
      <c r="I9" s="58" t="inlineStr">
        <is>
          <t>DIFFERENCE</t>
        </is>
      </c>
      <c r="J9" s="37" t="inlineStr">
        <is>
          <t>REFERENCE</t>
        </is>
      </c>
      <c r="K9" s="37" t="inlineStr">
        <is>
          <t>REAL VALUE</t>
        </is>
      </c>
    </row>
    <row r="10">
      <c r="A10" s="59" t="n"/>
      <c r="B10" s="59" t="n"/>
      <c r="C10" s="59" t="n"/>
      <c r="D10" s="59" t="n"/>
      <c r="E10" s="59" t="n"/>
      <c r="F10" s="59" t="n"/>
      <c r="G10" s="59" t="n"/>
      <c r="H10" s="59" t="n"/>
      <c r="I10" s="59" t="n"/>
    </row>
    <row r="11" ht="15" customHeight="1">
      <c r="A11" s="11" t="inlineStr">
        <is>
          <t>1 (Rig)</t>
        </is>
      </c>
      <c r="B11" s="12" t="n">
        <v>0</v>
      </c>
      <c r="C11" s="13" t="n">
        <v>0</v>
      </c>
      <c r="D11" s="4" t="n">
        <v>277</v>
      </c>
      <c r="E11" s="4">
        <f>D11+1.5</f>
        <v/>
      </c>
      <c r="F11" s="4">
        <f>D11-1.5</f>
        <v/>
      </c>
      <c r="G11" s="24" t="n">
        <v>276.96</v>
      </c>
      <c r="H11" s="6">
        <f>IF(OR(K11&gt;E11,K11&lt;F11),"FAIL","PASS")</f>
        <v/>
      </c>
      <c r="I11" s="7">
        <f>G11-D11</f>
        <v/>
      </c>
      <c r="J11" s="8">
        <f>IF(G11&gt;300,G11-360,0)</f>
        <v/>
      </c>
      <c r="K11" s="8">
        <f>IF(J11=0,G11,J11)</f>
        <v/>
      </c>
    </row>
    <row r="12" ht="15" customHeight="1">
      <c r="A12" s="12" t="n">
        <v>2</v>
      </c>
      <c r="B12" s="12" t="n">
        <v>2</v>
      </c>
      <c r="C12" s="12" t="n">
        <v>172</v>
      </c>
      <c r="D12" s="5" t="n">
        <v>276.3</v>
      </c>
      <c r="E12" s="9">
        <f>D12+1.5</f>
        <v/>
      </c>
      <c r="F12" s="9">
        <f>D12-1.5</f>
        <v/>
      </c>
      <c r="G12" s="24" t="n">
        <v>276.37</v>
      </c>
      <c r="H12" s="6">
        <f>IF(OR(K12&gt;E12,K12&lt;F12),"FAIL","PASS")</f>
        <v/>
      </c>
      <c r="I12" s="7">
        <f>G12-D12</f>
        <v/>
      </c>
      <c r="J12" s="8">
        <f>IF(G12&gt;300,G12-360,0)</f>
        <v/>
      </c>
      <c r="K12" s="8">
        <f>IF(J12=0,G12,J12)</f>
        <v/>
      </c>
    </row>
    <row r="13" ht="15" customHeight="1">
      <c r="A13" s="12" t="n">
        <v>3</v>
      </c>
      <c r="B13" s="12" t="n">
        <v>4</v>
      </c>
      <c r="C13" s="12" t="n">
        <v>344</v>
      </c>
      <c r="D13" s="14" t="n">
        <v>275.41</v>
      </c>
      <c r="E13" s="9">
        <f>D13+1.5</f>
        <v/>
      </c>
      <c r="F13" s="9">
        <f>D13-1.5</f>
        <v/>
      </c>
      <c r="G13" s="24" t="n">
        <v>275.33</v>
      </c>
      <c r="H13" s="6">
        <f>IF(OR(K13&gt;E13,K13&lt;F13),"FAIL","PASS")</f>
        <v/>
      </c>
      <c r="I13" s="7">
        <f>G13-D13</f>
        <v/>
      </c>
      <c r="J13" s="8">
        <f>IF(G13&gt;300,G13-360,0)</f>
        <v/>
      </c>
      <c r="K13" s="8">
        <f>IF(J13=0,G13,J13)</f>
        <v/>
      </c>
    </row>
    <row r="14" ht="15" customHeight="1">
      <c r="A14" s="12" t="n">
        <v>4</v>
      </c>
      <c r="B14" s="12" t="n">
        <v>7</v>
      </c>
      <c r="C14" s="12" t="n">
        <v>155</v>
      </c>
      <c r="D14" s="14" t="n">
        <v>274.29</v>
      </c>
      <c r="E14" s="9">
        <f>D14+1.5</f>
        <v/>
      </c>
      <c r="F14" s="9">
        <f>D14-1.5</f>
        <v/>
      </c>
      <c r="G14" s="24" t="n">
        <v>274.26</v>
      </c>
      <c r="H14" s="6">
        <f>IF(OR(K14&gt;E14,K14&lt;F14),"FAIL","PASS")</f>
        <v/>
      </c>
      <c r="I14" s="7">
        <f>G14-D14</f>
        <v/>
      </c>
      <c r="J14" s="8">
        <f>IF(G14&gt;300,G14-360,0)</f>
        <v/>
      </c>
      <c r="K14" s="8">
        <f>IF(J14=0,G14,J14)</f>
        <v/>
      </c>
    </row>
    <row r="15" ht="15" customHeight="1">
      <c r="A15" s="12" t="n">
        <v>5</v>
      </c>
      <c r="B15" s="12" t="n">
        <v>9</v>
      </c>
      <c r="C15" s="12" t="n">
        <v>327</v>
      </c>
      <c r="D15" s="5" t="n">
        <v>273.05</v>
      </c>
      <c r="E15" s="9">
        <f>D15+1.5</f>
        <v/>
      </c>
      <c r="F15" s="9">
        <f>D15-1.5</f>
        <v/>
      </c>
      <c r="G15" s="24" t="n">
        <v>273.1</v>
      </c>
      <c r="H15" s="6">
        <f>IF(OR(K15&gt;E15,K15&lt;F15),"FAIL","PASS")</f>
        <v/>
      </c>
      <c r="I15" s="7">
        <f>G15-D15</f>
        <v/>
      </c>
      <c r="J15" s="8">
        <f>IF(G15&gt;300,G15-360,0)</f>
        <v/>
      </c>
      <c r="K15" s="8">
        <f>IF(J15=0,G15,J15)</f>
        <v/>
      </c>
    </row>
    <row r="16" ht="15" customHeight="1">
      <c r="A16" s="12" t="n">
        <v>6</v>
      </c>
      <c r="B16" s="12" t="n">
        <v>12</v>
      </c>
      <c r="C16" s="12" t="n">
        <v>139</v>
      </c>
      <c r="D16" s="5" t="n">
        <v>271.47</v>
      </c>
      <c r="E16" s="9">
        <f>D16+1.5</f>
        <v/>
      </c>
      <c r="F16" s="9">
        <f>D16-1.5</f>
        <v/>
      </c>
      <c r="G16" s="24" t="n">
        <v>271.61</v>
      </c>
      <c r="H16" s="6">
        <f>IF(OR(K16&gt;E16,K16&lt;F16),"FAIL","PASS")</f>
        <v/>
      </c>
      <c r="I16" s="7">
        <f>G16-D16</f>
        <v/>
      </c>
      <c r="J16" s="8">
        <f>IF(G16&gt;300,G16-360,0)</f>
        <v/>
      </c>
      <c r="K16" s="8">
        <f>IF(J16=0,G16,J16)</f>
        <v/>
      </c>
    </row>
    <row r="17" ht="15" customHeight="1">
      <c r="A17" s="12" t="n">
        <v>7</v>
      </c>
      <c r="B17" s="12" t="n">
        <v>14</v>
      </c>
      <c r="C17" s="12" t="n">
        <v>132</v>
      </c>
      <c r="D17" s="5" t="n">
        <v>270</v>
      </c>
      <c r="E17" s="9">
        <f>D17+1.5</f>
        <v/>
      </c>
      <c r="F17" s="9">
        <f>D17-1.5</f>
        <v/>
      </c>
      <c r="G17" s="24" t="n">
        <v>270.22</v>
      </c>
      <c r="H17" s="6">
        <f>IF(OR(K17&gt;E17,K17&lt;F17),"FAIL","PASS")</f>
        <v/>
      </c>
      <c r="I17" s="7">
        <f>G17-D17</f>
        <v/>
      </c>
      <c r="J17" s="8">
        <f>IF(G17&gt;300,G17-360,0)</f>
        <v/>
      </c>
      <c r="K17" s="8">
        <f>IF(J17=0,G17,J17)</f>
        <v/>
      </c>
    </row>
    <row r="18" ht="15" customHeight="1">
      <c r="A18" s="12" t="n">
        <v>8</v>
      </c>
      <c r="B18" s="12" t="n">
        <v>14</v>
      </c>
      <c r="C18" s="12" t="n">
        <v>311</v>
      </c>
      <c r="D18" s="5" t="n">
        <v>268.77</v>
      </c>
      <c r="E18" s="9">
        <f>D18+1.5</f>
        <v/>
      </c>
      <c r="F18" s="9">
        <f>D18-1.5</f>
        <v/>
      </c>
      <c r="G18" s="24" t="n">
        <v>269.87</v>
      </c>
      <c r="H18" s="6">
        <f>IF(OR(K18&gt;E18,K18&lt;F18),"FAIL","PASS")</f>
        <v/>
      </c>
      <c r="I18" s="7">
        <f>G18-D18</f>
        <v/>
      </c>
      <c r="J18" s="8">
        <f>IF(G18&gt;300,G18-360,0)</f>
        <v/>
      </c>
      <c r="K18" s="8">
        <f>IF(J18=0,G18,J18)</f>
        <v/>
      </c>
    </row>
    <row r="19" ht="15" customHeight="1">
      <c r="A19" s="12" t="n">
        <v>9</v>
      </c>
      <c r="B19" s="12" t="n">
        <v>17</v>
      </c>
      <c r="C19" s="11" t="n">
        <v>122</v>
      </c>
      <c r="D19" s="5" t="n">
        <v>268.29</v>
      </c>
      <c r="E19" s="9">
        <f>D19+1.5</f>
        <v/>
      </c>
      <c r="F19" s="9">
        <f>D19-1.5</f>
        <v/>
      </c>
      <c r="G19" s="24" t="n">
        <v>268.29</v>
      </c>
      <c r="H19" s="6">
        <f>IF(OR(K19&gt;E19,K19&lt;F19),"FAIL","PASS")</f>
        <v/>
      </c>
      <c r="I19" s="7">
        <f>G19-D19</f>
        <v/>
      </c>
      <c r="J19" s="8">
        <f>IF(G19&gt;300,G19-360,0)</f>
        <v/>
      </c>
      <c r="K19" s="8">
        <f>IF(J19=0,G19,J19)</f>
        <v/>
      </c>
    </row>
    <row r="20" ht="15" customHeight="1">
      <c r="A20" s="12" t="n">
        <v>10</v>
      </c>
      <c r="B20" s="12" t="n">
        <v>19</v>
      </c>
      <c r="C20" s="12" t="n">
        <v>294</v>
      </c>
      <c r="D20" s="5" t="n">
        <v>266.91</v>
      </c>
      <c r="E20" s="9">
        <f>D20+1.5</f>
        <v/>
      </c>
      <c r="F20" s="9">
        <f>D20-1.5</f>
        <v/>
      </c>
      <c r="G20" s="24" t="n">
        <v>266.96</v>
      </c>
      <c r="H20" s="6">
        <f>IF(OR(K20&gt;E20,K20&lt;F20),"FAIL","PASS")</f>
        <v/>
      </c>
      <c r="I20" s="7">
        <f>G20-D20</f>
        <v/>
      </c>
      <c r="J20" s="8">
        <f>IF(G20&gt;300,G20-360,0)</f>
        <v/>
      </c>
      <c r="K20" s="8">
        <f>IF(J20=0,G20,J20)</f>
        <v/>
      </c>
    </row>
    <row r="21" ht="15" customHeight="1">
      <c r="A21" s="12" t="n">
        <v>11</v>
      </c>
      <c r="B21" s="12" t="n">
        <v>22</v>
      </c>
      <c r="C21" s="12" t="n">
        <v>106</v>
      </c>
      <c r="D21" s="5" t="n">
        <v>265.49</v>
      </c>
      <c r="E21" s="9">
        <f>D21+1.5</f>
        <v/>
      </c>
      <c r="F21" s="9">
        <f>D21-1.5</f>
        <v/>
      </c>
      <c r="G21" s="24" t="n">
        <v>265.53</v>
      </c>
      <c r="H21" s="6">
        <f>IF(OR(K21&gt;E21,K21&lt;F21),"FAIL","PASS")</f>
        <v/>
      </c>
      <c r="I21" s="7">
        <f>G21-D21</f>
        <v/>
      </c>
      <c r="J21" s="8">
        <f>IF(G21&gt;300,G21-360,0)</f>
        <v/>
      </c>
      <c r="K21" s="8">
        <f>IF(J21=0,G21,J21)</f>
        <v/>
      </c>
    </row>
    <row r="22" ht="15" customHeight="1">
      <c r="A22" s="12" t="n">
        <v>12</v>
      </c>
      <c r="B22" s="12" t="n">
        <v>24</v>
      </c>
      <c r="C22" s="12" t="n">
        <v>278</v>
      </c>
      <c r="D22" s="5" t="n">
        <v>264.06</v>
      </c>
      <c r="E22" s="9">
        <f>D22+1.5</f>
        <v/>
      </c>
      <c r="F22" s="9">
        <f>D22-1.5</f>
        <v/>
      </c>
      <c r="G22" s="24" t="n">
        <v>264.02</v>
      </c>
      <c r="H22" s="6">
        <f>IF(OR(K22&gt;E22,K22&lt;F22),"FAIL","PASS")</f>
        <v/>
      </c>
      <c r="I22" s="7">
        <f>G22-D22</f>
        <v/>
      </c>
      <c r="J22" s="8">
        <f>IF(G22&gt;300,G22-360,0)</f>
        <v/>
      </c>
      <c r="K22" s="8">
        <f>IF(J22=0,G22,J22)</f>
        <v/>
      </c>
    </row>
    <row r="23" ht="15" customHeight="1">
      <c r="A23" s="12" t="n">
        <v>13</v>
      </c>
      <c r="B23" s="12" t="n">
        <v>27</v>
      </c>
      <c r="C23" s="12" t="n">
        <v>89</v>
      </c>
      <c r="D23" s="5" t="n">
        <v>262.61</v>
      </c>
      <c r="E23" s="9">
        <f>D23+1.5</f>
        <v/>
      </c>
      <c r="F23" s="9">
        <f>D23-1.5</f>
        <v/>
      </c>
      <c r="G23" s="24" t="n">
        <v>262.57</v>
      </c>
      <c r="H23" s="6">
        <f>IF(OR(K23&gt;E23,K23&lt;F23),"FAIL","PASS")</f>
        <v/>
      </c>
      <c r="I23" s="7">
        <f>G23-D23</f>
        <v/>
      </c>
      <c r="J23" s="8">
        <f>IF(G23&gt;300,G23-360,0)</f>
        <v/>
      </c>
      <c r="K23" s="8">
        <f>IF(J23=0,G23,J23)</f>
        <v/>
      </c>
    </row>
    <row r="24" ht="15" customHeight="1">
      <c r="A24" s="12" t="n">
        <v>14</v>
      </c>
      <c r="B24" s="12" t="n">
        <v>29</v>
      </c>
      <c r="C24" s="12" t="n">
        <v>261</v>
      </c>
      <c r="D24" s="5" t="n">
        <v>261.15</v>
      </c>
      <c r="E24" s="9">
        <f>D24+1.5</f>
        <v/>
      </c>
      <c r="F24" s="9">
        <f>D24-1.5</f>
        <v/>
      </c>
      <c r="G24" s="24" t="n">
        <v>261.13</v>
      </c>
      <c r="H24" s="6">
        <f>IF(OR(K24&gt;E24,K24&lt;F24),"FAIL","PASS")</f>
        <v/>
      </c>
      <c r="I24" s="7">
        <f>G24-D24</f>
        <v/>
      </c>
      <c r="J24" s="8">
        <f>IF(G24&gt;300,G24-360,0)</f>
        <v/>
      </c>
      <c r="K24" s="8">
        <f>IF(J24=0,G24,J24)</f>
        <v/>
      </c>
    </row>
    <row r="25" ht="15" customHeight="1">
      <c r="A25" s="12" t="n">
        <v>15</v>
      </c>
      <c r="B25" s="12" t="n">
        <v>32</v>
      </c>
      <c r="C25" s="12" t="n">
        <v>73</v>
      </c>
      <c r="D25" s="5" t="n">
        <v>259.7</v>
      </c>
      <c r="E25" s="9">
        <f>D25+1.5</f>
        <v/>
      </c>
      <c r="F25" s="9">
        <f>D25-1.5</f>
        <v/>
      </c>
      <c r="G25" s="24" t="n">
        <v>259.75</v>
      </c>
      <c r="H25" s="6">
        <f>IF(OR(K25&gt;E25,K25&lt;F25),"FAIL","PASS")</f>
        <v/>
      </c>
      <c r="I25" s="7">
        <f>G25-D25</f>
        <v/>
      </c>
      <c r="J25" s="8">
        <f>IF(G25&gt;300,G25-360,0)</f>
        <v/>
      </c>
      <c r="K25" s="8">
        <f>IF(J25=0,G25,J25)</f>
        <v/>
      </c>
    </row>
    <row r="26" ht="15" customHeight="1">
      <c r="A26" s="12" t="n">
        <v>16</v>
      </c>
      <c r="B26" s="12" t="n">
        <v>34</v>
      </c>
      <c r="C26" s="12" t="n">
        <v>245</v>
      </c>
      <c r="D26" s="5" t="n">
        <v>258.221</v>
      </c>
      <c r="E26" s="9">
        <f>D26+1.5</f>
        <v/>
      </c>
      <c r="F26" s="9">
        <f>D26-1.5</f>
        <v/>
      </c>
      <c r="G26" s="24" t="n">
        <v>258.29</v>
      </c>
      <c r="H26" s="6">
        <f>IF(OR(K26&gt;E26,K26&lt;F26),"FAIL","PASS")</f>
        <v/>
      </c>
      <c r="I26" s="7">
        <f>G26-D26</f>
        <v/>
      </c>
      <c r="J26" s="8">
        <f>IF(G26&gt;300,G26-360,0)</f>
        <v/>
      </c>
      <c r="K26" s="8">
        <f>IF(J26=0,G26,J26)</f>
        <v/>
      </c>
    </row>
    <row r="27" ht="15" customHeight="1">
      <c r="A27" s="12" t="n">
        <v>17</v>
      </c>
      <c r="B27" s="12" t="n">
        <v>37</v>
      </c>
      <c r="C27" s="12" t="n">
        <v>56</v>
      </c>
      <c r="D27" s="5" t="n">
        <v>256.75</v>
      </c>
      <c r="E27" s="9">
        <f>D27+1.5</f>
        <v/>
      </c>
      <c r="F27" s="9">
        <f>D27-1.5</f>
        <v/>
      </c>
      <c r="G27" s="24" t="n">
        <v>256.82</v>
      </c>
      <c r="H27" s="6">
        <f>IF(OR(K27&gt;E27,K27&lt;F27),"FAIL","PASS")</f>
        <v/>
      </c>
      <c r="I27" s="7">
        <f>G27-D27</f>
        <v/>
      </c>
      <c r="J27" s="8">
        <f>IF(G27&gt;300,G27-360,0)</f>
        <v/>
      </c>
      <c r="K27" s="8">
        <f>IF(J27=0,G27,J27)</f>
        <v/>
      </c>
    </row>
    <row r="28" ht="15" customHeight="1">
      <c r="A28" s="12" t="n">
        <v>18</v>
      </c>
      <c r="B28" s="12" t="n">
        <v>39</v>
      </c>
      <c r="C28" s="12" t="n">
        <v>228</v>
      </c>
      <c r="D28" s="5" t="n">
        <v>255.27</v>
      </c>
      <c r="E28" s="9">
        <f>D28+1.5</f>
        <v/>
      </c>
      <c r="F28" s="9">
        <f>D28-1.5</f>
        <v/>
      </c>
      <c r="G28" s="24" t="n">
        <v>255.35</v>
      </c>
      <c r="H28" s="6">
        <f>IF(OR(K28&gt;E28,K28&lt;F28),"FAIL","PASS")</f>
        <v/>
      </c>
      <c r="I28" s="7">
        <f>G28-D28</f>
        <v/>
      </c>
      <c r="J28" s="8">
        <f>IF(G28&gt;300,G28-360,0)</f>
        <v/>
      </c>
      <c r="K28" s="8">
        <f>IF(J28=0,G28,J28)</f>
        <v/>
      </c>
    </row>
    <row r="29" ht="15" customHeight="1">
      <c r="A29" s="12" t="n">
        <v>19</v>
      </c>
      <c r="B29" s="12" t="n">
        <v>42</v>
      </c>
      <c r="C29" s="12" t="n">
        <v>40</v>
      </c>
      <c r="D29" s="5" t="n">
        <v>253.76</v>
      </c>
      <c r="E29" s="9">
        <f>D29+1.5</f>
        <v/>
      </c>
      <c r="F29" s="9">
        <f>D29-1.5</f>
        <v/>
      </c>
      <c r="G29" s="24" t="n">
        <v>253.85</v>
      </c>
      <c r="H29" s="6">
        <f>IF(OR(K29&gt;E29,K29&lt;F29),"FAIL","PASS")</f>
        <v/>
      </c>
      <c r="I29" s="7">
        <f>G29-D29</f>
        <v/>
      </c>
      <c r="J29" s="8">
        <f>IF(G29&gt;300,G29-360,0)</f>
        <v/>
      </c>
      <c r="K29" s="8">
        <f>IF(J29=0,G29,J29)</f>
        <v/>
      </c>
    </row>
    <row r="30" ht="15" customHeight="1">
      <c r="A30" s="12" t="n">
        <v>20</v>
      </c>
      <c r="B30" s="12" t="n">
        <v>44</v>
      </c>
      <c r="C30" s="12" t="n">
        <v>212</v>
      </c>
      <c r="D30" s="5" t="n">
        <v>252.24</v>
      </c>
      <c r="E30" s="9">
        <f>D30+1.5</f>
        <v/>
      </c>
      <c r="F30" s="9">
        <f>D30-1.5</f>
        <v/>
      </c>
      <c r="G30" s="24" t="n">
        <v>252.4</v>
      </c>
      <c r="H30" s="6">
        <f>IF(OR(K30&gt;E30,K30&lt;F30),"FAIL","PASS")</f>
        <v/>
      </c>
      <c r="I30" s="7">
        <f>G30-D30</f>
        <v/>
      </c>
      <c r="J30" s="8">
        <f>IF(G30&gt;300,G30-360,0)</f>
        <v/>
      </c>
      <c r="K30" s="8">
        <f>IF(J30=0,G30,J30)</f>
        <v/>
      </c>
    </row>
    <row r="31" ht="15" customHeight="1">
      <c r="A31" s="12" t="n">
        <v>21</v>
      </c>
      <c r="B31" s="12" t="n">
        <v>47</v>
      </c>
      <c r="C31" s="12" t="n">
        <v>23</v>
      </c>
      <c r="D31" s="5" t="n">
        <v>250.73</v>
      </c>
      <c r="E31" s="9">
        <f>D31+1.5</f>
        <v/>
      </c>
      <c r="F31" s="9">
        <f>D31-1.5</f>
        <v/>
      </c>
      <c r="G31" s="24" t="n">
        <v>250.93</v>
      </c>
      <c r="H31" s="6">
        <f>IF(OR(K31&gt;E31,K31&lt;F31),"FAIL","PASS")</f>
        <v/>
      </c>
      <c r="I31" s="7">
        <f>G31-D31</f>
        <v/>
      </c>
      <c r="J31" s="8">
        <f>IF(G31&gt;300,G31-360,0)</f>
        <v/>
      </c>
      <c r="K31" s="8">
        <f>IF(J31=0,G31,J31)</f>
        <v/>
      </c>
    </row>
    <row r="32" ht="15" customHeight="1">
      <c r="A32" s="12" t="n">
        <v>22</v>
      </c>
      <c r="B32" s="12" t="n">
        <v>49</v>
      </c>
      <c r="C32" s="12" t="n">
        <v>195</v>
      </c>
      <c r="D32" s="5" t="n">
        <v>249.25</v>
      </c>
      <c r="E32" s="9">
        <f>D32+1.5</f>
        <v/>
      </c>
      <c r="F32" s="9">
        <f>D32-1.5</f>
        <v/>
      </c>
      <c r="G32" s="24" t="n">
        <v>249.44</v>
      </c>
      <c r="H32" s="6">
        <f>IF(OR(K32&gt;E32,K32&lt;F32),"FAIL","PASS")</f>
        <v/>
      </c>
      <c r="I32" s="7">
        <f>G32-D32</f>
        <v/>
      </c>
      <c r="J32" s="8">
        <f>IF(G32&gt;300,G32-360,0)</f>
        <v/>
      </c>
      <c r="K32" s="8">
        <f>IF(J32=0,G32,J32)</f>
        <v/>
      </c>
    </row>
    <row r="33" ht="15" customHeight="1">
      <c r="A33" s="12" t="n">
        <v>23</v>
      </c>
      <c r="B33" s="12" t="n">
        <v>52</v>
      </c>
      <c r="C33" s="12" t="n">
        <v>7</v>
      </c>
      <c r="D33" s="5" t="n">
        <v>247.75</v>
      </c>
      <c r="E33" s="9">
        <f>D33+1.5</f>
        <v/>
      </c>
      <c r="F33" s="9">
        <f>D33-1.5</f>
        <v/>
      </c>
      <c r="G33" s="24" t="n">
        <v>247.89</v>
      </c>
      <c r="H33" s="6">
        <f>IF(OR(K33&gt;E33,K33&lt;F33),"FAIL","PASS")</f>
        <v/>
      </c>
      <c r="I33" s="7">
        <f>G33-D33</f>
        <v/>
      </c>
      <c r="J33" s="8">
        <f>IF(G33&gt;300,G33-360,0)</f>
        <v/>
      </c>
      <c r="K33" s="8">
        <f>IF(J33=0,G33,J33)</f>
        <v/>
      </c>
    </row>
    <row r="34" ht="15" customHeight="1">
      <c r="A34" s="12" t="n">
        <v>24</v>
      </c>
      <c r="B34" s="15" t="n">
        <v>54</v>
      </c>
      <c r="C34" s="12" t="n">
        <v>179</v>
      </c>
      <c r="D34" s="5" t="n">
        <v>246.28</v>
      </c>
      <c r="E34" s="9">
        <f>D34+1.5</f>
        <v/>
      </c>
      <c r="F34" s="9">
        <f>D34-1.5</f>
        <v/>
      </c>
      <c r="G34" s="24" t="n">
        <v>246.35</v>
      </c>
      <c r="H34" s="6">
        <f>IF(OR(K34&gt;E34,K34&lt;F34),"FAIL","PASS")</f>
        <v/>
      </c>
      <c r="I34" s="7">
        <f>G34-D34</f>
        <v/>
      </c>
      <c r="J34" s="8">
        <f>IF(G34&gt;300,G34-360,0)</f>
        <v/>
      </c>
      <c r="K34" s="8">
        <f>IF(J34=0,G34,J34)</f>
        <v/>
      </c>
    </row>
    <row r="35" ht="15" customHeight="1">
      <c r="A35" s="12" t="n">
        <v>25</v>
      </c>
      <c r="B35" s="11" t="n">
        <v>56</v>
      </c>
      <c r="C35" s="12" t="n">
        <v>350</v>
      </c>
      <c r="D35" s="5" t="n">
        <v>244.8</v>
      </c>
      <c r="E35" s="9">
        <f>D35+1.5</f>
        <v/>
      </c>
      <c r="F35" s="9">
        <f>D35-1.5</f>
        <v/>
      </c>
      <c r="G35" s="24" t="n">
        <v>244.88</v>
      </c>
      <c r="H35" s="6">
        <f>IF(OR(K35&gt;E35,K35&lt;F35),"FAIL","PASS")</f>
        <v/>
      </c>
      <c r="I35" s="7">
        <f>G35-D35</f>
        <v/>
      </c>
      <c r="J35" s="8">
        <f>IF(G35&gt;300,G35-360,0)</f>
        <v/>
      </c>
      <c r="K35" s="8">
        <f>IF(J35=0,G35,J35)</f>
        <v/>
      </c>
    </row>
    <row r="36" ht="15" customHeight="1">
      <c r="A36" s="12" t="n">
        <v>26</v>
      </c>
      <c r="B36" s="12" t="n">
        <v>59</v>
      </c>
      <c r="C36" s="12" t="n">
        <v>162</v>
      </c>
      <c r="D36" s="5" t="n">
        <v>243.35</v>
      </c>
      <c r="E36" s="9">
        <f>D36+1.5</f>
        <v/>
      </c>
      <c r="F36" s="9">
        <f>D36-1.5</f>
        <v/>
      </c>
      <c r="G36" s="24" t="n">
        <v>243.32</v>
      </c>
      <c r="H36" s="6">
        <f>IF(OR(K36&gt;E36,K36&lt;F36),"FAIL","PASS")</f>
        <v/>
      </c>
      <c r="I36" s="7">
        <f>G36-D36</f>
        <v/>
      </c>
      <c r="J36" s="8">
        <f>IF(G36&gt;300,G36-360,0)</f>
        <v/>
      </c>
      <c r="K36" s="8">
        <f>IF(J36=0,G36,J36)</f>
        <v/>
      </c>
    </row>
    <row r="37" ht="15" customHeight="1">
      <c r="A37" s="12" t="n">
        <v>27</v>
      </c>
      <c r="B37" s="12" t="n">
        <v>61</v>
      </c>
      <c r="C37" s="12" t="n">
        <v>334</v>
      </c>
      <c r="D37" s="5" t="n">
        <v>241.94</v>
      </c>
      <c r="E37" s="9">
        <f>D37+1.5</f>
        <v/>
      </c>
      <c r="F37" s="9">
        <f>D37-1.5</f>
        <v/>
      </c>
      <c r="G37" s="24" t="n">
        <v>241.83</v>
      </c>
      <c r="H37" s="6">
        <f>IF(OR(K37&gt;E37,K37&lt;F37),"FAIL","PASS")</f>
        <v/>
      </c>
      <c r="I37" s="7">
        <f>G37-D37</f>
        <v/>
      </c>
      <c r="J37" s="8">
        <f>IF(G37&gt;300,G37-360,0)</f>
        <v/>
      </c>
      <c r="K37" s="8">
        <f>IF(J37=0,G37,J37)</f>
        <v/>
      </c>
    </row>
    <row r="38" ht="15" customHeight="1">
      <c r="A38" s="12" t="n">
        <v>28</v>
      </c>
      <c r="B38" s="12" t="n">
        <v>64</v>
      </c>
      <c r="C38" s="12" t="n">
        <v>146</v>
      </c>
      <c r="D38" s="5" t="n">
        <v>240.49</v>
      </c>
      <c r="E38" s="9">
        <f>D38+1.5</f>
        <v/>
      </c>
      <c r="F38" s="9">
        <f>D38-1.5</f>
        <v/>
      </c>
      <c r="G38" s="24" t="n">
        <v>240.32</v>
      </c>
      <c r="H38" s="6">
        <f>IF(OR(K38&gt;E38,K38&lt;F38),"FAIL","PASS")</f>
        <v/>
      </c>
      <c r="I38" s="7">
        <f>G38-D38</f>
        <v/>
      </c>
      <c r="J38" s="8">
        <f>IF(G38&gt;300,G38-360,0)</f>
        <v/>
      </c>
      <c r="K38" s="8">
        <f>IF(J38=0,G38,J38)</f>
        <v/>
      </c>
    </row>
    <row r="39" ht="15" customHeight="1">
      <c r="A39" s="12" t="n">
        <v>29</v>
      </c>
      <c r="B39" s="12" t="n">
        <v>64</v>
      </c>
      <c r="C39" s="12" t="n">
        <v>318</v>
      </c>
      <c r="D39" s="5" t="n">
        <v>240</v>
      </c>
      <c r="E39" s="9">
        <f>D39+1.5</f>
        <v/>
      </c>
      <c r="F39" s="9">
        <f>D39-1.5</f>
        <v/>
      </c>
      <c r="G39" s="24" t="n">
        <v>240.03</v>
      </c>
      <c r="H39" s="6">
        <f>IF(OR(K39&gt;E39,K39&lt;F39),"FAIL","PASS")</f>
        <v/>
      </c>
      <c r="I39" s="7">
        <f>G39-D39</f>
        <v/>
      </c>
      <c r="J39" s="8">
        <f>IF(G39&gt;300,G39-360,0)</f>
        <v/>
      </c>
      <c r="K39" s="8">
        <f>IF(J39=0,G39,J39)</f>
        <v/>
      </c>
    </row>
    <row r="40" ht="15" customHeight="1">
      <c r="A40" s="12" t="n">
        <v>30</v>
      </c>
      <c r="B40" s="12" t="n">
        <v>66</v>
      </c>
      <c r="C40" s="12" t="n">
        <v>317</v>
      </c>
      <c r="D40" s="5" t="n">
        <v>239.04</v>
      </c>
      <c r="E40" s="9">
        <f>D40+1.5</f>
        <v/>
      </c>
      <c r="F40" s="9">
        <f>D40-1.5</f>
        <v/>
      </c>
      <c r="G40" s="24" t="n">
        <v>238.86</v>
      </c>
      <c r="H40" s="6">
        <f>IF(OR(K40&gt;E40,K40&lt;F40),"FAIL","PASS")</f>
        <v/>
      </c>
      <c r="I40" s="7">
        <f>G40-D40</f>
        <v/>
      </c>
      <c r="J40" s="8">
        <f>IF(G40&gt;300,G40-360,0)</f>
        <v/>
      </c>
      <c r="K40" s="8">
        <f>IF(J40=0,G40,J40)</f>
        <v/>
      </c>
    </row>
    <row r="41" ht="15" customHeight="1">
      <c r="A41" s="12" t="n">
        <v>31</v>
      </c>
      <c r="B41" s="12" t="n">
        <v>69</v>
      </c>
      <c r="C41" s="11" t="n">
        <v>129</v>
      </c>
      <c r="D41" s="5" t="n">
        <v>237.65</v>
      </c>
      <c r="E41" s="9">
        <f>D41+1.5</f>
        <v/>
      </c>
      <c r="F41" s="9">
        <f>D41-1.5</f>
        <v/>
      </c>
      <c r="G41" s="25" t="n">
        <v>237.49</v>
      </c>
      <c r="H41" s="6">
        <f>IF(OR(K41&gt;E41,K41&lt;F41),"FAIL","PASS")</f>
        <v/>
      </c>
      <c r="I41" s="7">
        <f>G41-D41</f>
        <v/>
      </c>
      <c r="J41" s="8">
        <f>IF(G41&gt;300,G41-360,0)</f>
        <v/>
      </c>
      <c r="K41" s="8">
        <f>IF(J41=0,G41,J41)</f>
        <v/>
      </c>
    </row>
    <row r="42" ht="15" customHeight="1">
      <c r="A42" s="12" t="n">
        <v>32</v>
      </c>
      <c r="B42" s="12" t="n">
        <v>71</v>
      </c>
      <c r="C42" s="11" t="n">
        <v>301</v>
      </c>
      <c r="D42" s="5" t="n">
        <v>236.24</v>
      </c>
      <c r="E42" s="9">
        <f>D42+1.5</f>
        <v/>
      </c>
      <c r="F42" s="9">
        <f>D42-1.5</f>
        <v/>
      </c>
      <c r="G42" s="25" t="n">
        <v>236.07</v>
      </c>
      <c r="H42" s="6">
        <f>IF(OR(K42&gt;E42,K42&lt;F42),"FAIL","PASS")</f>
        <v/>
      </c>
      <c r="I42" s="7">
        <f>G42-D42</f>
        <v/>
      </c>
      <c r="J42" s="8">
        <f>IF(G42&gt;300,G42-360,0)</f>
        <v/>
      </c>
      <c r="K42" s="8">
        <f>IF(J42=0,G42,J42)</f>
        <v/>
      </c>
    </row>
    <row r="43" ht="15" customHeight="1">
      <c r="A43" s="11" t="n">
        <v>33</v>
      </c>
      <c r="B43" s="12" t="n">
        <v>74</v>
      </c>
      <c r="C43" s="11" t="n">
        <v>113</v>
      </c>
      <c r="D43" s="5" t="n">
        <v>234.81</v>
      </c>
      <c r="E43" s="9">
        <f>D43+1.5</f>
        <v/>
      </c>
      <c r="F43" s="9">
        <f>D43-1.5</f>
        <v/>
      </c>
      <c r="G43" s="25" t="n">
        <v>234.65</v>
      </c>
      <c r="H43" s="6">
        <f>IF(OR(K43&gt;E43,K43&lt;F43),"FAIL","PASS")</f>
        <v/>
      </c>
      <c r="I43" s="7">
        <f>G43-D43</f>
        <v/>
      </c>
      <c r="J43" s="8">
        <f>IF(G43&gt;300,G43-360,0)</f>
        <v/>
      </c>
      <c r="K43" s="8">
        <f>IF(J43=0,G43,J43)</f>
        <v/>
      </c>
    </row>
    <row r="44" ht="15" customHeight="1">
      <c r="A44" s="11" t="n">
        <v>34</v>
      </c>
      <c r="B44" s="12" t="n">
        <v>76</v>
      </c>
      <c r="C44" s="11" t="n">
        <v>284</v>
      </c>
      <c r="D44" s="5" t="n">
        <v>233.37</v>
      </c>
      <c r="E44" s="9">
        <f>D44+1.5</f>
        <v/>
      </c>
      <c r="F44" s="9">
        <f>D44-1.5</f>
        <v/>
      </c>
      <c r="G44" s="25" t="n">
        <v>233.26</v>
      </c>
      <c r="H44" s="6">
        <f>IF(OR(K44&gt;E44,K44&lt;F44),"FAIL","PASS")</f>
        <v/>
      </c>
      <c r="I44" s="7">
        <f>G44-D44</f>
        <v/>
      </c>
      <c r="J44" s="8">
        <f>IF(G44&gt;300,G44-360,0)</f>
        <v/>
      </c>
      <c r="K44" s="8">
        <f>IF(J44=0,G44,J44)</f>
        <v/>
      </c>
    </row>
    <row r="45" ht="15" customHeight="1">
      <c r="A45" s="12" t="n">
        <v>35</v>
      </c>
      <c r="B45" s="12" t="n">
        <v>79</v>
      </c>
      <c r="C45" s="11" t="n">
        <v>96</v>
      </c>
      <c r="D45" s="5" t="n">
        <v>231.95</v>
      </c>
      <c r="E45" s="9">
        <f>D45+1.5</f>
        <v/>
      </c>
      <c r="F45" s="9">
        <f>D45-1.5</f>
        <v/>
      </c>
      <c r="G45" s="25" t="n">
        <v>231.77</v>
      </c>
      <c r="H45" s="6">
        <f>IF(OR(K45&gt;E45,K45&lt;F45),"FAIL","PASS")</f>
        <v/>
      </c>
      <c r="I45" s="7">
        <f>G45-D45</f>
        <v/>
      </c>
      <c r="J45" s="8">
        <f>IF(G45&gt;300,G45-360,0)</f>
        <v/>
      </c>
      <c r="K45" s="8">
        <f>IF(J45=0,G45,J45)</f>
        <v/>
      </c>
    </row>
    <row r="46" ht="15" customHeight="1">
      <c r="A46" s="12" t="n">
        <v>36</v>
      </c>
      <c r="B46" s="12" t="n">
        <v>81</v>
      </c>
      <c r="C46" s="11" t="n">
        <v>268</v>
      </c>
      <c r="D46" s="5" t="n">
        <v>230.53</v>
      </c>
      <c r="E46" s="9">
        <f>D46+1.5</f>
        <v/>
      </c>
      <c r="F46" s="9">
        <f>D46-1.5</f>
        <v/>
      </c>
      <c r="G46" s="25" t="n">
        <v>230.34</v>
      </c>
      <c r="H46" s="6">
        <f>IF(OR(K46&gt;E46,K46&lt;F46),"FAIL","PASS")</f>
        <v/>
      </c>
      <c r="I46" s="7">
        <f>G46-D46</f>
        <v/>
      </c>
      <c r="J46" s="8">
        <f>IF(G46&gt;300,G46-360,0)</f>
        <v/>
      </c>
      <c r="K46" s="8">
        <f>IF(J46=0,G46,J46)</f>
        <v/>
      </c>
    </row>
    <row r="47" ht="15" customHeight="1">
      <c r="A47" s="12" t="n">
        <v>37</v>
      </c>
      <c r="B47" s="12" t="n">
        <v>84</v>
      </c>
      <c r="C47" s="11" t="n">
        <v>80</v>
      </c>
      <c r="D47" s="5" t="n">
        <v>229.11</v>
      </c>
      <c r="E47" s="9">
        <f>D47+1.5</f>
        <v/>
      </c>
      <c r="F47" s="9">
        <f>D47-1.5</f>
        <v/>
      </c>
      <c r="G47" s="25" t="n">
        <v>228.92</v>
      </c>
      <c r="H47" s="6">
        <f>IF(OR(K47&gt;E47,K47&lt;F47),"FAIL","PASS")</f>
        <v/>
      </c>
      <c r="I47" s="7">
        <f>G47-D47</f>
        <v/>
      </c>
      <c r="J47" s="8">
        <f>IF(G47&gt;300,G47-360,0)</f>
        <v/>
      </c>
      <c r="K47" s="8">
        <f>IF(J47=0,G47,J47)</f>
        <v/>
      </c>
    </row>
    <row r="48" ht="15" customHeight="1">
      <c r="A48" s="12" t="n">
        <v>38</v>
      </c>
      <c r="B48" s="12" t="n">
        <v>86</v>
      </c>
      <c r="C48" s="11" t="n">
        <v>251</v>
      </c>
      <c r="D48" s="5" t="n">
        <v>227.7</v>
      </c>
      <c r="E48" s="9">
        <f>D48+1.5</f>
        <v/>
      </c>
      <c r="F48" s="9">
        <f>D48-1.5</f>
        <v/>
      </c>
      <c r="G48" s="25" t="n">
        <v>227.5</v>
      </c>
      <c r="H48" s="6">
        <f>IF(OR(K48&gt;E48,K48&lt;F48),"FAIL","PASS")</f>
        <v/>
      </c>
      <c r="I48" s="7">
        <f>G48-D48</f>
        <v/>
      </c>
      <c r="J48" s="8">
        <f>IF(G48&gt;300,G48-360,0)</f>
        <v/>
      </c>
      <c r="K48" s="8">
        <f>IF(J48=0,G48,J48)</f>
        <v/>
      </c>
    </row>
    <row r="49" ht="15" customHeight="1">
      <c r="A49" s="12" t="n">
        <v>39</v>
      </c>
      <c r="B49" s="12" t="n">
        <v>89</v>
      </c>
      <c r="C49" s="11" t="n">
        <v>63</v>
      </c>
      <c r="D49" s="5" t="n">
        <v>226.26</v>
      </c>
      <c r="E49" s="9">
        <f>D49+1.5</f>
        <v/>
      </c>
      <c r="F49" s="9">
        <f>D49-1.5</f>
        <v/>
      </c>
      <c r="G49" s="25" t="n">
        <v>226.06</v>
      </c>
      <c r="H49" s="6">
        <f>IF(OR(K49&gt;E49,K49&lt;F49),"FAIL","PASS")</f>
        <v/>
      </c>
      <c r="I49" s="7">
        <f>G49-D49</f>
        <v/>
      </c>
      <c r="J49" s="8">
        <f>IF(G49&gt;300,G49-360,0)</f>
        <v/>
      </c>
      <c r="K49" s="8">
        <f>IF(J49=0,G49,J49)</f>
        <v/>
      </c>
    </row>
    <row r="50" ht="15" customHeight="1">
      <c r="A50" s="12" t="n">
        <v>40</v>
      </c>
      <c r="B50" s="12" t="n">
        <v>91</v>
      </c>
      <c r="C50" s="11" t="n">
        <v>235</v>
      </c>
      <c r="D50" s="5" t="n">
        <v>224.79</v>
      </c>
      <c r="E50" s="9">
        <f>D50+1.5</f>
        <v/>
      </c>
      <c r="F50" s="9">
        <f>D50-1.5</f>
        <v/>
      </c>
      <c r="G50" s="25" t="n">
        <v>224.52</v>
      </c>
      <c r="H50" s="6">
        <f>IF(OR(K50&gt;E50,K50&lt;F50),"FAIL","PASS")</f>
        <v/>
      </c>
      <c r="I50" s="7">
        <f>G50-D50</f>
        <v/>
      </c>
      <c r="J50" s="8">
        <f>IF(G50&gt;300,G50-360,0)</f>
        <v/>
      </c>
      <c r="K50" s="8">
        <f>IF(J50=0,G50,J50)</f>
        <v/>
      </c>
    </row>
    <row r="51" ht="15" customHeight="1">
      <c r="A51" s="12" t="n">
        <v>41</v>
      </c>
      <c r="B51" s="12" t="n">
        <v>94</v>
      </c>
      <c r="C51" s="11" t="n">
        <v>47</v>
      </c>
      <c r="D51" s="5" t="n">
        <v>223.38</v>
      </c>
      <c r="E51" s="9">
        <f>D51+1.5</f>
        <v/>
      </c>
      <c r="F51" s="9">
        <f>D51-1.5</f>
        <v/>
      </c>
      <c r="G51" s="25" t="n">
        <v>223.09</v>
      </c>
      <c r="H51" s="6">
        <f>IF(OR(K51&gt;E51,K51&lt;F51),"FAIL","PASS")</f>
        <v/>
      </c>
      <c r="I51" s="7">
        <f>G51-D51</f>
        <v/>
      </c>
      <c r="J51" s="8">
        <f>IF(G51&gt;300,G51-360,0)</f>
        <v/>
      </c>
      <c r="K51" s="8">
        <f>IF(J51=0,G51,J51)</f>
        <v/>
      </c>
    </row>
    <row r="52" ht="15" customHeight="1">
      <c r="A52" s="12" t="n">
        <v>42</v>
      </c>
      <c r="B52" s="12" t="n">
        <v>96</v>
      </c>
      <c r="C52" s="11" t="n">
        <v>218</v>
      </c>
      <c r="D52" s="5" t="n">
        <v>221.91</v>
      </c>
      <c r="E52" s="9">
        <f>D52+1.5</f>
        <v/>
      </c>
      <c r="F52" s="9">
        <f>D52-1.5</f>
        <v/>
      </c>
      <c r="G52" s="25" t="n">
        <v>221.63</v>
      </c>
      <c r="H52" s="6">
        <f>IF(OR(K52&gt;E52,K52&lt;F52),"FAIL","PASS")</f>
        <v/>
      </c>
      <c r="I52" s="7">
        <f>G52-D52</f>
        <v/>
      </c>
      <c r="J52" s="8">
        <f>IF(G52&gt;300,G52-360,0)</f>
        <v/>
      </c>
      <c r="K52" s="8">
        <f>IF(J52=0,G52,J52)</f>
        <v/>
      </c>
    </row>
    <row r="53" ht="15" customHeight="1">
      <c r="A53" s="11" t="n">
        <v>43</v>
      </c>
      <c r="B53" s="12" t="n">
        <v>99</v>
      </c>
      <c r="C53" s="11" t="n">
        <v>30</v>
      </c>
      <c r="D53" s="5" t="n">
        <v>220.4</v>
      </c>
      <c r="E53" s="9">
        <f>D53+1.5</f>
        <v/>
      </c>
      <c r="F53" s="9">
        <f>D53-1.5</f>
        <v/>
      </c>
      <c r="G53" s="25" t="n">
        <v>220.04</v>
      </c>
      <c r="H53" s="6">
        <f>IF(OR(K53&gt;E53,K53&lt;F53),"FAIL","PASS")</f>
        <v/>
      </c>
      <c r="I53" s="7">
        <f>G53-D53</f>
        <v/>
      </c>
      <c r="J53" s="8">
        <f>IF(G53&gt;300,G53-360,0)</f>
        <v/>
      </c>
      <c r="K53" s="8">
        <f>IF(J53=0,G53,J53)</f>
        <v/>
      </c>
    </row>
    <row r="54" ht="15" customHeight="1">
      <c r="A54" s="11" t="n">
        <v>44</v>
      </c>
      <c r="B54" s="12" t="n">
        <v>101</v>
      </c>
      <c r="C54" s="11" t="n">
        <v>202</v>
      </c>
      <c r="D54" s="5" t="n">
        <v>218.86</v>
      </c>
      <c r="E54" s="9">
        <f>D54+1.5</f>
        <v/>
      </c>
      <c r="F54" s="9">
        <f>D54-1.5</f>
        <v/>
      </c>
      <c r="G54" s="25" t="n">
        <v>218.51</v>
      </c>
      <c r="H54" s="6">
        <f>IF(OR(K54&gt;E54,K54&lt;F54),"FAIL","PASS")</f>
        <v/>
      </c>
      <c r="I54" s="7">
        <f>G54-D54</f>
        <v/>
      </c>
      <c r="J54" s="8">
        <f>IF(G54&gt;300,G54-360,0)</f>
        <v/>
      </c>
      <c r="K54" s="8">
        <f>IF(J54=0,G54,J54)</f>
        <v/>
      </c>
    </row>
    <row r="55" ht="15" customHeight="1">
      <c r="A55" s="11" t="n">
        <v>45</v>
      </c>
      <c r="B55" s="12" t="n">
        <v>104</v>
      </c>
      <c r="C55" s="11" t="n">
        <v>1.4</v>
      </c>
      <c r="D55" s="16" t="n">
        <v>217.31</v>
      </c>
      <c r="E55" s="9">
        <f>D55+1.5</f>
        <v/>
      </c>
      <c r="F55" s="9">
        <f>D55-1.5</f>
        <v/>
      </c>
      <c r="G55" s="25" t="n">
        <v>216.91</v>
      </c>
      <c r="H55" s="6">
        <f>IF(OR(K55&gt;E55,K55&lt;F55),"FAIL","PASS")</f>
        <v/>
      </c>
      <c r="I55" s="7">
        <f>G55-D55</f>
        <v/>
      </c>
      <c r="J55" s="8">
        <f>IF(G55&gt;300,G55-360,0)</f>
        <v/>
      </c>
      <c r="K55" s="8">
        <f>IF(J55=0,G55,J55)</f>
        <v/>
      </c>
    </row>
    <row r="56" ht="15" customHeight="1">
      <c r="A56" s="12" t="n">
        <v>46</v>
      </c>
      <c r="B56" s="12" t="n">
        <v>106</v>
      </c>
      <c r="C56" s="11" t="n">
        <v>186</v>
      </c>
      <c r="D56" s="5" t="n">
        <v>215.78</v>
      </c>
      <c r="E56" s="9">
        <f>D56+1.5</f>
        <v/>
      </c>
      <c r="F56" s="9">
        <f>D56-1.5</f>
        <v/>
      </c>
      <c r="G56" s="25" t="n">
        <v>215.39</v>
      </c>
      <c r="H56" s="6">
        <f>IF(OR(K56&gt;E56,K56&lt;F56),"FAIL","PASS")</f>
        <v/>
      </c>
      <c r="I56" s="7">
        <f>G56-D56</f>
        <v/>
      </c>
      <c r="J56" s="8">
        <f>IF(G56&gt;300,G56-360,0)</f>
        <v/>
      </c>
      <c r="K56" s="8">
        <f>IF(J56=0,G56,J56)</f>
        <v/>
      </c>
    </row>
    <row r="57" ht="15" customHeight="1">
      <c r="A57" s="11" t="n">
        <v>47</v>
      </c>
      <c r="B57" s="12" t="n">
        <v>108</v>
      </c>
      <c r="C57" s="11" t="n">
        <v>357</v>
      </c>
      <c r="D57" s="5" t="n">
        <v>214.27</v>
      </c>
      <c r="E57" s="9">
        <f>D57+1.5</f>
        <v/>
      </c>
      <c r="F57" s="9">
        <f>D57-1.5</f>
        <v/>
      </c>
      <c r="G57" s="25" t="n">
        <v>213.87</v>
      </c>
      <c r="H57" s="6">
        <f>IF(OR(K57&gt;E57,K57&lt;F57),"FAIL","PASS")</f>
        <v/>
      </c>
      <c r="I57" s="7">
        <f>G57-D57</f>
        <v/>
      </c>
      <c r="J57" s="8">
        <f>IF(G57&gt;300,G57-360,0)</f>
        <v/>
      </c>
      <c r="K57" s="8">
        <f>IF(J57=0,G57,J57)</f>
        <v/>
      </c>
    </row>
    <row r="58" ht="15" customHeight="1">
      <c r="A58" s="12" t="n">
        <v>48</v>
      </c>
      <c r="B58" s="12" t="n">
        <v>111</v>
      </c>
      <c r="C58" s="11" t="n">
        <v>169</v>
      </c>
      <c r="D58" s="5" t="n">
        <v>212.8</v>
      </c>
      <c r="E58" s="9">
        <f>D58+1.5</f>
        <v/>
      </c>
      <c r="F58" s="9">
        <f>D58-1.5</f>
        <v/>
      </c>
      <c r="G58" s="25" t="n">
        <v>212.43</v>
      </c>
      <c r="H58" s="6">
        <f>IF(OR(K58&gt;E58,K58&lt;F58),"FAIL","PASS")</f>
        <v/>
      </c>
      <c r="I58" s="7">
        <f>G58-D58</f>
        <v/>
      </c>
      <c r="J58" s="8">
        <f>IF(G58&gt;300,G58-360,0)</f>
        <v/>
      </c>
      <c r="K58" s="8">
        <f>IF(J58=0,G58,J58)</f>
        <v/>
      </c>
    </row>
    <row r="59" ht="15" customHeight="1">
      <c r="A59" s="12" t="n">
        <v>49</v>
      </c>
      <c r="B59" s="12" t="n">
        <v>113</v>
      </c>
      <c r="C59" s="11" t="n">
        <v>341</v>
      </c>
      <c r="D59" s="5" t="n">
        <v>211.16</v>
      </c>
      <c r="E59" s="9">
        <f>D59+1.5</f>
        <v/>
      </c>
      <c r="F59" s="9">
        <f>D59-1.5</f>
        <v/>
      </c>
      <c r="G59" s="25" t="n">
        <v>210.82</v>
      </c>
      <c r="H59" s="6">
        <f>IF(OR(K59&gt;E59,K59&lt;F59),"FAIL","PASS")</f>
        <v/>
      </c>
      <c r="I59" s="7">
        <f>G59-D59</f>
        <v/>
      </c>
      <c r="J59" s="8">
        <f>IF(G59&gt;300,G59-360,0)</f>
        <v/>
      </c>
      <c r="K59" s="8">
        <f>IF(J59=0,G59,J59)</f>
        <v/>
      </c>
    </row>
    <row r="60" ht="15" customHeight="1">
      <c r="A60" s="12" t="n">
        <v>50</v>
      </c>
      <c r="B60" s="12" t="n">
        <v>115</v>
      </c>
      <c r="C60" s="11" t="n">
        <v>156</v>
      </c>
      <c r="D60" s="5" t="n">
        <v>210</v>
      </c>
      <c r="E60" s="9">
        <f>D60+1.5</f>
        <v/>
      </c>
      <c r="F60" s="9">
        <f>D60-1.5</f>
        <v/>
      </c>
      <c r="G60" s="25" t="n">
        <v>209.73</v>
      </c>
      <c r="H60" s="6">
        <f>IF(OR(K60&gt;E60,K60&lt;F60),"FAIL","PASS")</f>
        <v/>
      </c>
      <c r="I60" s="7">
        <f>G60-D60</f>
        <v/>
      </c>
      <c r="J60" s="8">
        <f>IF(G60&gt;300,G60-360,0)</f>
        <v/>
      </c>
      <c r="K60" s="8">
        <f>IF(J60=0,G60,J60)</f>
        <v/>
      </c>
    </row>
    <row r="61" ht="15" customHeight="1">
      <c r="A61" s="12" t="n">
        <v>51</v>
      </c>
      <c r="B61" s="12" t="n">
        <v>116</v>
      </c>
      <c r="C61" s="11" t="n">
        <v>153</v>
      </c>
      <c r="D61" s="5" t="n">
        <v>209.19</v>
      </c>
      <c r="E61" s="9">
        <f>D61+1.5</f>
        <v/>
      </c>
      <c r="F61" s="9">
        <f>D61-1.5</f>
        <v/>
      </c>
      <c r="G61" s="25" t="n">
        <v>208.95</v>
      </c>
      <c r="H61" s="6">
        <f>IF(OR(K61&gt;E61,K61&lt;F61),"FAIL","PASS")</f>
        <v/>
      </c>
      <c r="I61" s="7">
        <f>G61-D61</f>
        <v/>
      </c>
      <c r="J61" s="8">
        <f>IF(G61&gt;300,G61-360,0)</f>
        <v/>
      </c>
      <c r="K61" s="8">
        <f>IF(J61=0,G61,J61)</f>
        <v/>
      </c>
    </row>
    <row r="62" ht="15" customHeight="1">
      <c r="A62" s="12" t="n">
        <v>52</v>
      </c>
      <c r="B62" s="12" t="n">
        <v>118</v>
      </c>
      <c r="C62" s="11" t="n">
        <v>324</v>
      </c>
      <c r="D62" s="5" t="n">
        <v>206.5</v>
      </c>
      <c r="E62" s="9">
        <f>D62+1.5</f>
        <v/>
      </c>
      <c r="F62" s="9">
        <f>D62-1.5</f>
        <v/>
      </c>
      <c r="G62" s="25" t="n">
        <v>206.19</v>
      </c>
      <c r="H62" s="6">
        <f>IF(OR(K62&gt;E62,K62&lt;F62),"FAIL","PASS")</f>
        <v/>
      </c>
      <c r="I62" s="7">
        <f>G62-D62</f>
        <v/>
      </c>
      <c r="J62" s="8">
        <f>IF(G62&gt;300,G62-360,0)</f>
        <v/>
      </c>
      <c r="K62" s="8">
        <f>IF(J62=0,G62,J62)</f>
        <v/>
      </c>
    </row>
    <row r="63" ht="15" customHeight="1">
      <c r="A63" s="12" t="n">
        <v>53</v>
      </c>
      <c r="B63" s="12" t="n">
        <v>121</v>
      </c>
      <c r="C63" s="11" t="n">
        <v>136</v>
      </c>
      <c r="D63" s="5" t="n">
        <v>203.79</v>
      </c>
      <c r="E63" s="9">
        <f>D63+1.5</f>
        <v/>
      </c>
      <c r="F63" s="9">
        <f>D63-1.5</f>
        <v/>
      </c>
      <c r="G63" s="25" t="n">
        <v>203.52</v>
      </c>
      <c r="H63" s="6">
        <f>IF(OR(K63&gt;E63,K63&lt;F63),"FAIL","PASS")</f>
        <v/>
      </c>
      <c r="I63" s="7">
        <f>G63-D63</f>
        <v/>
      </c>
      <c r="J63" s="8">
        <f>IF(G63&gt;300,G63-360,0)</f>
        <v/>
      </c>
      <c r="K63" s="8">
        <f>IF(J63=0,G63,J63)</f>
        <v/>
      </c>
    </row>
    <row r="64" ht="15" customHeight="1">
      <c r="A64" s="12" t="n">
        <v>54</v>
      </c>
      <c r="B64" s="12" t="n">
        <v>123</v>
      </c>
      <c r="C64" s="11" t="n">
        <v>308</v>
      </c>
      <c r="D64" s="5" t="n">
        <v>201.06</v>
      </c>
      <c r="E64" s="9">
        <f>D64+1.5</f>
        <v/>
      </c>
      <c r="F64" s="9">
        <f>D64-1.5</f>
        <v/>
      </c>
      <c r="G64" s="25" t="n">
        <v>200.8</v>
      </c>
      <c r="H64" s="6">
        <f>IF(OR(K64&gt;E64,K64&lt;F64),"FAIL","PASS")</f>
        <v/>
      </c>
      <c r="I64" s="7">
        <f>G64-D64</f>
        <v/>
      </c>
      <c r="J64" s="8">
        <f>IF(G64&gt;300,G64-360,0)</f>
        <v/>
      </c>
      <c r="K64" s="8">
        <f>IF(J64=0,G64,J64)</f>
        <v/>
      </c>
    </row>
    <row r="65" ht="15" customHeight="1">
      <c r="A65" s="12" t="n">
        <v>55</v>
      </c>
      <c r="B65" s="12" t="n">
        <v>126</v>
      </c>
      <c r="C65" s="11" t="n">
        <v>120</v>
      </c>
      <c r="D65" s="5" t="n">
        <v>198.3</v>
      </c>
      <c r="E65" s="9">
        <f>D65+1.5</f>
        <v/>
      </c>
      <c r="F65" s="9">
        <f>D65-1.5</f>
        <v/>
      </c>
      <c r="G65" s="25" t="n">
        <v>198.06</v>
      </c>
      <c r="H65" s="6">
        <f>IF(OR(K65&gt;E65,K65&lt;F65),"FAIL","PASS")</f>
        <v/>
      </c>
      <c r="I65" s="7">
        <f>G65-D65</f>
        <v/>
      </c>
      <c r="J65" s="8">
        <f>IF(G65&gt;300,G65-360,0)</f>
        <v/>
      </c>
      <c r="K65" s="8">
        <f>IF(J65=0,G65,J65)</f>
        <v/>
      </c>
    </row>
    <row r="66" ht="15" customHeight="1">
      <c r="A66" s="12" t="n">
        <v>56</v>
      </c>
      <c r="B66" s="12" t="n">
        <v>128</v>
      </c>
      <c r="C66" s="11" t="n">
        <v>291</v>
      </c>
      <c r="D66" s="5" t="n">
        <v>195.56</v>
      </c>
      <c r="E66" s="9">
        <f>D66+1.5</f>
        <v/>
      </c>
      <c r="F66" s="9">
        <f>D66-1.5</f>
        <v/>
      </c>
      <c r="G66" s="25" t="n">
        <v>195.3</v>
      </c>
      <c r="H66" s="6">
        <f>IF(OR(K66&gt;E66,K66&lt;F66),"FAIL","PASS")</f>
        <v/>
      </c>
      <c r="I66" s="7">
        <f>G66-D66</f>
        <v/>
      </c>
      <c r="J66" s="8">
        <f>IF(G66&gt;300,G66-360,0)</f>
        <v/>
      </c>
      <c r="K66" s="8">
        <f>IF(J66=0,G66,J66)</f>
        <v/>
      </c>
    </row>
    <row r="67" ht="15" customHeight="1">
      <c r="A67" s="12" t="n">
        <v>57</v>
      </c>
      <c r="B67" s="12" t="n">
        <v>131</v>
      </c>
      <c r="C67" s="11" t="n">
        <v>103</v>
      </c>
      <c r="D67" s="5" t="n">
        <v>192.78</v>
      </c>
      <c r="E67" s="9">
        <f>D67+1.5</f>
        <v/>
      </c>
      <c r="F67" s="9">
        <f>D67-1.5</f>
        <v/>
      </c>
      <c r="G67" s="25" t="n">
        <v>192.53</v>
      </c>
      <c r="H67" s="6">
        <f>IF(OR(K67&gt;E67,K67&lt;F67),"FAIL","PASS")</f>
        <v/>
      </c>
      <c r="I67" s="7">
        <f>G67-D67</f>
        <v/>
      </c>
      <c r="J67" s="8">
        <f>IF(G67&gt;300,G67-360,0)</f>
        <v/>
      </c>
      <c r="K67" s="8">
        <f>IF(J67=0,G67,J67)</f>
        <v/>
      </c>
    </row>
    <row r="68" ht="15" customHeight="1">
      <c r="A68" s="12" t="n">
        <v>58</v>
      </c>
      <c r="B68" s="12" t="n">
        <v>133</v>
      </c>
      <c r="C68" s="11" t="n">
        <v>275</v>
      </c>
      <c r="D68" s="5" t="n">
        <v>189.96</v>
      </c>
      <c r="E68" s="9">
        <f>D68+1.5</f>
        <v/>
      </c>
      <c r="F68" s="9">
        <f>D68-1.5</f>
        <v/>
      </c>
      <c r="G68" s="25" t="n">
        <v>189.8</v>
      </c>
      <c r="H68" s="6">
        <f>IF(OR(K68&gt;E68,K68&lt;F68),"FAIL","PASS")</f>
        <v/>
      </c>
      <c r="I68" s="7">
        <f>G68-D68</f>
        <v/>
      </c>
      <c r="J68" s="8">
        <f>IF(G68&gt;300,G68-360,0)</f>
        <v/>
      </c>
      <c r="K68" s="8">
        <f>IF(J68=0,G68,J68)</f>
        <v/>
      </c>
    </row>
    <row r="69" ht="15" customHeight="1">
      <c r="A69" s="12" t="n">
        <v>59</v>
      </c>
      <c r="B69" s="12" t="n">
        <v>136</v>
      </c>
      <c r="C69" s="11" t="n">
        <v>87</v>
      </c>
      <c r="D69" s="5" t="n">
        <v>187.17</v>
      </c>
      <c r="E69" s="9">
        <f>D69+1.5</f>
        <v/>
      </c>
      <c r="F69" s="9">
        <f>D69-1.5</f>
        <v/>
      </c>
      <c r="G69" s="25" t="n">
        <v>187.04</v>
      </c>
      <c r="H69" s="6">
        <f>IF(OR(K69&gt;E69,K69&lt;F69),"FAIL","PASS")</f>
        <v/>
      </c>
      <c r="I69" s="7">
        <f>G69-D69</f>
        <v/>
      </c>
      <c r="J69" s="8">
        <f>IF(G69&gt;300,G69-360,0)</f>
        <v/>
      </c>
      <c r="K69" s="8">
        <f>IF(J69=0,G69,J69)</f>
        <v/>
      </c>
    </row>
    <row r="70" ht="15" customHeight="1">
      <c r="A70" s="12" t="n">
        <v>60</v>
      </c>
      <c r="B70" s="12" t="n">
        <v>138</v>
      </c>
      <c r="C70" s="11" t="n">
        <v>258</v>
      </c>
      <c r="D70" s="5" t="n">
        <v>184.37</v>
      </c>
      <c r="E70" s="9">
        <f>D70+1.5</f>
        <v/>
      </c>
      <c r="F70" s="9">
        <f>D70-1.5</f>
        <v/>
      </c>
      <c r="G70" s="25" t="n">
        <v>184.35</v>
      </c>
      <c r="H70" s="6">
        <f>IF(OR(K70&gt;E70,K70&lt;F70),"FAIL","PASS")</f>
        <v/>
      </c>
      <c r="I70" s="7">
        <f>G70-D70</f>
        <v/>
      </c>
      <c r="J70" s="8">
        <f>IF(G70&gt;300,G70-360,0)</f>
        <v/>
      </c>
      <c r="K70" s="8">
        <f>IF(J70=0,G70,J70)</f>
        <v/>
      </c>
    </row>
    <row r="71" ht="15" customHeight="1">
      <c r="A71" s="12" t="n">
        <v>61</v>
      </c>
      <c r="B71" s="12" t="n">
        <v>141</v>
      </c>
      <c r="C71" s="12" t="n">
        <v>70</v>
      </c>
      <c r="D71" s="5" t="n">
        <v>181.49</v>
      </c>
      <c r="E71" s="9">
        <f>D71+1.5</f>
        <v/>
      </c>
      <c r="F71" s="9">
        <f>D71-1.5</f>
        <v/>
      </c>
      <c r="G71" s="25" t="n">
        <v>181.49</v>
      </c>
      <c r="H71" s="6">
        <f>IF(OR(K71&gt;E71,K71&lt;F71),"FAIL","PASS")</f>
        <v/>
      </c>
      <c r="I71" s="7">
        <f>G71-D71</f>
        <v/>
      </c>
      <c r="J71" s="8">
        <f>IF(G71&gt;300,G71-360,0)</f>
        <v/>
      </c>
      <c r="K71" s="8">
        <f>IF(J71=0,G71,J71)</f>
        <v/>
      </c>
    </row>
    <row r="72" ht="15" customHeight="1">
      <c r="A72" s="12" t="n">
        <v>62</v>
      </c>
      <c r="B72" s="12" t="n">
        <v>142</v>
      </c>
      <c r="C72" s="12" t="n">
        <v>37</v>
      </c>
      <c r="D72" s="5" t="n">
        <v>180</v>
      </c>
      <c r="E72" s="9">
        <f>D72+1.5</f>
        <v/>
      </c>
      <c r="F72" s="9">
        <f>D72-1.5</f>
        <v/>
      </c>
      <c r="G72" s="25" t="n">
        <v>180.42</v>
      </c>
      <c r="H72" s="6">
        <f>IF(OR(K72&gt;E72,K72&lt;F72),"FAIL","PASS")</f>
        <v/>
      </c>
      <c r="I72" s="7">
        <f>G72-D72</f>
        <v/>
      </c>
      <c r="J72" s="8">
        <f>IF(G72&gt;300,G72-360,0)</f>
        <v/>
      </c>
      <c r="K72" s="8">
        <f>IF(J72=0,G72,J72)</f>
        <v/>
      </c>
    </row>
    <row r="73" ht="15" customHeight="1">
      <c r="A73" s="12" t="n">
        <v>63</v>
      </c>
      <c r="B73" s="12" t="n">
        <v>143</v>
      </c>
      <c r="C73" s="12" t="n">
        <v>242</v>
      </c>
      <c r="D73" s="5" t="n">
        <v>178.65</v>
      </c>
      <c r="E73" s="9">
        <f>D73+1.5</f>
        <v/>
      </c>
      <c r="F73" s="9">
        <f>D73-1.5</f>
        <v/>
      </c>
      <c r="G73" s="25" t="n">
        <v>178.61</v>
      </c>
      <c r="H73" s="6">
        <f>IF(OR(K73&gt;E73,K73&lt;F73),"FAIL","PASS")</f>
        <v/>
      </c>
      <c r="I73" s="7">
        <f>G73-D73</f>
        <v/>
      </c>
      <c r="J73" s="8">
        <f>IF(G73&gt;300,G73-360,0)</f>
        <v/>
      </c>
      <c r="K73" s="8">
        <f>IF(J73=0,G73,J73)</f>
        <v/>
      </c>
    </row>
    <row r="74" ht="15" customHeight="1">
      <c r="A74" s="12" t="n">
        <v>64</v>
      </c>
      <c r="B74" s="12" t="n">
        <v>146</v>
      </c>
      <c r="C74" s="12" t="n">
        <v>54</v>
      </c>
      <c r="D74" s="5" t="n">
        <v>176.13</v>
      </c>
      <c r="E74" s="9">
        <f>D74+1.5</f>
        <v/>
      </c>
      <c r="F74" s="9">
        <f>D74-1.5</f>
        <v/>
      </c>
      <c r="G74" s="25" t="n">
        <v>176.2</v>
      </c>
      <c r="H74" s="6">
        <f>IF(OR(K74&gt;E74,K74&lt;F74),"FAIL","PASS")</f>
        <v/>
      </c>
      <c r="I74" s="7">
        <f>G74-D74</f>
        <v/>
      </c>
      <c r="J74" s="8">
        <f>IF(G74&gt;300,G74-360,0)</f>
        <v/>
      </c>
      <c r="K74" s="8">
        <f>IF(J74=0,G74,J74)</f>
        <v/>
      </c>
    </row>
    <row r="75" ht="15" customHeight="1">
      <c r="A75" s="12" t="n">
        <v>65</v>
      </c>
      <c r="B75" s="12" t="n">
        <v>148</v>
      </c>
      <c r="C75" s="12" t="n">
        <v>225</v>
      </c>
      <c r="D75" s="5" t="n">
        <v>173.38</v>
      </c>
      <c r="E75" s="9">
        <f>D75+1.5</f>
        <v/>
      </c>
      <c r="F75" s="9">
        <f>D75-1.5</f>
        <v/>
      </c>
      <c r="G75" s="25" t="n">
        <v>173.46</v>
      </c>
      <c r="H75" s="6">
        <f>IF(OR(K75&gt;E75,K75&lt;F75),"FAIL","PASS")</f>
        <v/>
      </c>
      <c r="I75" s="7">
        <f>G75-D75</f>
        <v/>
      </c>
      <c r="J75" s="8">
        <f>IF(G75&gt;300,G75-360,0)</f>
        <v/>
      </c>
      <c r="K75" s="8">
        <f>IF(J75=0,G75,J75)</f>
        <v/>
      </c>
    </row>
    <row r="76" ht="15" customHeight="1">
      <c r="A76" s="12" t="n">
        <v>66</v>
      </c>
      <c r="B76" s="12" t="n">
        <v>151</v>
      </c>
      <c r="C76" s="12" t="n">
        <v>37</v>
      </c>
      <c r="D76" s="5" t="n">
        <v>170.84</v>
      </c>
      <c r="E76" s="9">
        <f>D76+1.5</f>
        <v/>
      </c>
      <c r="F76" s="9">
        <f>D76-1.5</f>
        <v/>
      </c>
      <c r="G76" s="25" t="n">
        <v>170.74</v>
      </c>
      <c r="H76" s="6">
        <f>IF(OR(K76&gt;E76,K76&lt;F76),"FAIL","PASS")</f>
        <v/>
      </c>
      <c r="I76" s="7">
        <f>G76-D76</f>
        <v/>
      </c>
      <c r="J76" s="8">
        <f>IF(G76&gt;300,G76-360,0)</f>
        <v/>
      </c>
      <c r="K76" s="8">
        <f>IF(J76=0,G76,J76)</f>
        <v/>
      </c>
    </row>
    <row r="77" ht="15" customHeight="1">
      <c r="A77" s="12" t="n">
        <v>67</v>
      </c>
      <c r="B77" s="12" t="n">
        <v>153</v>
      </c>
      <c r="C77" s="12" t="n">
        <v>209</v>
      </c>
      <c r="D77" s="5" t="n">
        <v>167.79</v>
      </c>
      <c r="E77" s="9">
        <f>D77+1.5</f>
        <v/>
      </c>
      <c r="F77" s="9">
        <f>D77-1.5</f>
        <v/>
      </c>
      <c r="G77" s="25" t="n">
        <v>167.9</v>
      </c>
      <c r="H77" s="6">
        <f>IF(OR(K77&gt;E77,K77&lt;F77),"FAIL","PASS")</f>
        <v/>
      </c>
      <c r="I77" s="7">
        <f>G77-D77</f>
        <v/>
      </c>
      <c r="J77" s="8">
        <f>IF(G77&gt;300,G77-360,0)</f>
        <v/>
      </c>
      <c r="K77" s="8">
        <f>IF(J77=0,G77,J77)</f>
        <v/>
      </c>
    </row>
    <row r="78" ht="15" customHeight="1">
      <c r="A78" s="12" t="n">
        <v>68</v>
      </c>
      <c r="B78" s="12" t="n">
        <v>156</v>
      </c>
      <c r="C78" s="12" t="n">
        <v>21</v>
      </c>
      <c r="D78" s="5" t="n">
        <v>164.95</v>
      </c>
      <c r="E78" s="9">
        <f>D78+1.5</f>
        <v/>
      </c>
      <c r="F78" s="9">
        <f>D78-1.5</f>
        <v/>
      </c>
      <c r="G78" s="25" t="n">
        <v>165.01</v>
      </c>
      <c r="H78" s="6">
        <f>IF(OR(K78&gt;E78,K78&lt;F78),"FAIL","PASS")</f>
        <v/>
      </c>
      <c r="I78" s="7">
        <f>G78-D78</f>
        <v/>
      </c>
      <c r="J78" s="8">
        <f>IF(G78&gt;300,G78-360,0)</f>
        <v/>
      </c>
      <c r="K78" s="8">
        <f>IF(J78=0,G78,J78)</f>
        <v/>
      </c>
    </row>
    <row r="79" ht="15" customHeight="1">
      <c r="A79" s="12" t="n">
        <v>69</v>
      </c>
      <c r="B79" s="12" t="n">
        <v>158</v>
      </c>
      <c r="C79" s="12" t="n">
        <v>192</v>
      </c>
      <c r="D79" s="5" t="n">
        <v>162.15</v>
      </c>
      <c r="E79" s="9">
        <f>D79+1.5</f>
        <v/>
      </c>
      <c r="F79" s="9">
        <f>D79-1.5</f>
        <v/>
      </c>
      <c r="G79" s="25" t="n">
        <v>162.17</v>
      </c>
      <c r="H79" s="6">
        <f>IF(OR(K79&gt;E79,K79&lt;F79),"FAIL","PASS")</f>
        <v/>
      </c>
      <c r="I79" s="7">
        <f>G79-D79</f>
        <v/>
      </c>
      <c r="J79" s="8">
        <f>IF(G79&gt;300,G79-360,0)</f>
        <v/>
      </c>
      <c r="K79" s="8">
        <f>IF(J79=0,G79,J79)</f>
        <v/>
      </c>
    </row>
    <row r="80" ht="15" customHeight="1">
      <c r="A80" s="12" t="n">
        <v>70</v>
      </c>
      <c r="B80" s="12" t="n">
        <v>161</v>
      </c>
      <c r="C80" s="12" t="n">
        <v>4</v>
      </c>
      <c r="D80" s="5" t="n">
        <v>159.31</v>
      </c>
      <c r="E80" s="9">
        <f>D80+1.5</f>
        <v/>
      </c>
      <c r="F80" s="9">
        <f>D80-1.5</f>
        <v/>
      </c>
      <c r="G80" s="25" t="n">
        <v>159.4</v>
      </c>
      <c r="H80" s="6">
        <f>IF(OR(K80&gt;E80,K80&lt;F80),"FAIL","PASS")</f>
        <v/>
      </c>
      <c r="I80" s="7">
        <f>G80-D80</f>
        <v/>
      </c>
      <c r="J80" s="8">
        <f>IF(G80&gt;300,G80-360,0)</f>
        <v/>
      </c>
      <c r="K80" s="8">
        <f>IF(J80=0,G80,J80)</f>
        <v/>
      </c>
    </row>
    <row r="81" ht="15" customHeight="1">
      <c r="A81" s="12" t="n">
        <v>71</v>
      </c>
      <c r="B81" s="12" t="n">
        <v>163</v>
      </c>
      <c r="C81" s="12" t="n">
        <v>176</v>
      </c>
      <c r="D81" s="5" t="n">
        <v>156.46</v>
      </c>
      <c r="E81" s="9">
        <f>D81+1.5</f>
        <v/>
      </c>
      <c r="F81" s="9">
        <f>D81-1.5</f>
        <v/>
      </c>
      <c r="G81" s="25" t="n">
        <v>156.49</v>
      </c>
      <c r="H81" s="6">
        <f>IF(OR(K81&gt;E81,K81&lt;F81),"FAIL","PASS")</f>
        <v/>
      </c>
      <c r="I81" s="7">
        <f>G81-D81</f>
        <v/>
      </c>
      <c r="J81" s="8">
        <f>IF(G81&gt;300,G81-360,0)</f>
        <v/>
      </c>
      <c r="K81" s="8">
        <f>IF(J81=0,G81,J81)</f>
        <v/>
      </c>
    </row>
    <row r="82" ht="15" customHeight="1">
      <c r="A82" s="12" t="n">
        <v>72</v>
      </c>
      <c r="B82" s="12" t="n">
        <v>165</v>
      </c>
      <c r="C82" s="12" t="n">
        <v>348</v>
      </c>
      <c r="D82" s="5" t="n">
        <v>153.57</v>
      </c>
      <c r="E82" s="9">
        <f>D82+1.5</f>
        <v/>
      </c>
      <c r="F82" s="9">
        <f>D82-1.5</f>
        <v/>
      </c>
      <c r="G82" s="25" t="n">
        <v>153.61</v>
      </c>
      <c r="H82" s="6">
        <f>IF(OR(K82&gt;E82,K82&lt;F82),"FAIL","PASS")</f>
        <v/>
      </c>
      <c r="I82" s="7">
        <f>G82-D82</f>
        <v/>
      </c>
      <c r="J82" s="8">
        <f>IF(G82&gt;300,G82-360,0)</f>
        <v/>
      </c>
      <c r="K82" s="8">
        <f>IF(J82=0,G82,J82)</f>
        <v/>
      </c>
    </row>
    <row r="83" ht="15" customHeight="1">
      <c r="A83" s="12" t="n">
        <v>73</v>
      </c>
      <c r="B83" s="12" t="n">
        <v>168</v>
      </c>
      <c r="C83" s="12" t="n">
        <v>159</v>
      </c>
      <c r="D83" s="5" t="n">
        <v>150.72</v>
      </c>
      <c r="E83" s="9">
        <f>D83+1.5</f>
        <v/>
      </c>
      <c r="F83" s="9">
        <f>D83-1.5</f>
        <v/>
      </c>
      <c r="G83" s="25" t="n">
        <v>150.67</v>
      </c>
      <c r="H83" s="6">
        <f>IF(OR(K83&gt;E83,K83&lt;F83),"FAIL","PASS")</f>
        <v/>
      </c>
      <c r="I83" s="7">
        <f>G83-D83</f>
        <v/>
      </c>
      <c r="J83" s="8">
        <f>IF(G83&gt;300,G83-360,0)</f>
        <v/>
      </c>
      <c r="K83" s="8">
        <f>IF(J83=0,G83,J83)</f>
        <v/>
      </c>
    </row>
    <row r="84" ht="15" customHeight="1">
      <c r="A84" s="12" t="n">
        <v>74</v>
      </c>
      <c r="B84" s="12" t="n">
        <v>168</v>
      </c>
      <c r="C84" s="12" t="n">
        <v>278</v>
      </c>
      <c r="D84" s="5" t="n">
        <v>150</v>
      </c>
      <c r="E84" s="9">
        <f>D84+1.5</f>
        <v/>
      </c>
      <c r="F84" s="9">
        <f>D84-1.5</f>
        <v/>
      </c>
      <c r="G84" s="25" t="n">
        <v>150.31</v>
      </c>
      <c r="H84" s="6">
        <f>IF(OR(K84&gt;E84,K84&lt;F84),"FAIL","PASS")</f>
        <v/>
      </c>
      <c r="I84" s="7">
        <f>G84-D84</f>
        <v/>
      </c>
      <c r="J84" s="8">
        <f>IF(G84&gt;300,G84-360,0)</f>
        <v/>
      </c>
      <c r="K84" s="8">
        <f>IF(J84=0,G84,J84)</f>
        <v/>
      </c>
    </row>
    <row r="85" ht="15" customHeight="1">
      <c r="A85" s="12" t="n">
        <v>75</v>
      </c>
      <c r="B85" s="12" t="n">
        <v>170</v>
      </c>
      <c r="C85" s="12" t="n">
        <v>331</v>
      </c>
      <c r="D85" s="5" t="n">
        <v>148.18</v>
      </c>
      <c r="E85" s="9">
        <f>D85+1.5</f>
        <v/>
      </c>
      <c r="F85" s="9">
        <f>D85-1.5</f>
        <v/>
      </c>
      <c r="G85" s="25" t="n">
        <v>148.14</v>
      </c>
      <c r="H85" s="6">
        <f>IF(OR(K85&gt;E85,K85&lt;F85),"FAIL","PASS")</f>
        <v/>
      </c>
      <c r="I85" s="7">
        <f>G85-D85</f>
        <v/>
      </c>
      <c r="J85" s="8">
        <f>IF(G85&gt;300,G85-360,0)</f>
        <v/>
      </c>
      <c r="K85" s="8">
        <f>IF(J85=0,G85,J85)</f>
        <v/>
      </c>
    </row>
    <row r="86" ht="15" customHeight="1">
      <c r="A86" s="12" t="n">
        <v>76</v>
      </c>
      <c r="B86" s="12" t="n">
        <v>173</v>
      </c>
      <c r="C86" s="12" t="n">
        <v>143</v>
      </c>
      <c r="D86" s="5" t="n">
        <v>145.83</v>
      </c>
      <c r="E86" s="9">
        <f>D86+1.5</f>
        <v/>
      </c>
      <c r="F86" s="9">
        <f>D86-1.5</f>
        <v/>
      </c>
      <c r="G86" s="25" t="n">
        <v>145.74</v>
      </c>
      <c r="H86" s="6">
        <f>IF(OR(K86&gt;E86,K86&lt;F86),"FAIL","PASS")</f>
        <v/>
      </c>
      <c r="I86" s="7">
        <f>G86-D86</f>
        <v/>
      </c>
      <c r="J86" s="8">
        <f>IF(G86&gt;300,G86-360,0)</f>
        <v/>
      </c>
      <c r="K86" s="8">
        <f>IF(J86=0,G86,J86)</f>
        <v/>
      </c>
    </row>
    <row r="87" ht="15" customHeight="1">
      <c r="A87" s="12" t="n">
        <v>77</v>
      </c>
      <c r="B87" s="12" t="n">
        <v>175</v>
      </c>
      <c r="C87" s="12" t="n">
        <v>315</v>
      </c>
      <c r="D87" s="5" t="n">
        <v>143.48</v>
      </c>
      <c r="E87" s="9">
        <f>D87+1.5</f>
        <v/>
      </c>
      <c r="F87" s="9">
        <f>D87-1.5</f>
        <v/>
      </c>
      <c r="G87" s="25" t="n">
        <v>143.31</v>
      </c>
      <c r="H87" s="6">
        <f>IF(OR(K87&gt;E87,K87&lt;F87),"FAIL","PASS")</f>
        <v/>
      </c>
      <c r="I87" s="7">
        <f>G87-D87</f>
        <v/>
      </c>
      <c r="J87" s="8">
        <f>IF(G87&gt;300,G87-360,0)</f>
        <v/>
      </c>
      <c r="K87" s="8">
        <f>IF(J87=0,G87,J87)</f>
        <v/>
      </c>
    </row>
    <row r="88" ht="15" customHeight="1">
      <c r="A88" s="12" t="n">
        <v>78</v>
      </c>
      <c r="B88" s="12" t="n">
        <v>178</v>
      </c>
      <c r="C88" s="12" t="n">
        <v>126</v>
      </c>
      <c r="D88" s="5" t="n">
        <v>141.15</v>
      </c>
      <c r="E88" s="9">
        <f>D88+1.5</f>
        <v/>
      </c>
      <c r="F88" s="9">
        <f>D88-1.5</f>
        <v/>
      </c>
      <c r="G88" s="25" t="n">
        <v>140.98</v>
      </c>
      <c r="H88" s="6">
        <f>IF(OR(K88&gt;E88,K88&lt;F88),"FAIL","PASS")</f>
        <v/>
      </c>
      <c r="I88" s="7">
        <f>G88-D88</f>
        <v/>
      </c>
      <c r="J88" s="8">
        <f>IF(G88&gt;300,G88-360,0)</f>
        <v/>
      </c>
      <c r="K88" s="8">
        <f>IF(J88=0,G88,J88)</f>
        <v/>
      </c>
    </row>
    <row r="89" ht="15" customHeight="1">
      <c r="A89" s="12" t="n">
        <v>79</v>
      </c>
      <c r="B89" s="12" t="n">
        <v>180</v>
      </c>
      <c r="C89" s="12" t="n">
        <v>298</v>
      </c>
      <c r="D89" s="5" t="n">
        <v>138.85</v>
      </c>
      <c r="E89" s="9">
        <f>D89+1.5</f>
        <v/>
      </c>
      <c r="F89" s="9">
        <f>D89-1.5</f>
        <v/>
      </c>
      <c r="G89" s="25" t="n">
        <v>138.61</v>
      </c>
      <c r="H89" s="6">
        <f>IF(OR(K89&gt;E89,K89&lt;F89),"FAIL","PASS")</f>
        <v/>
      </c>
      <c r="I89" s="7">
        <f>G89-D89</f>
        <v/>
      </c>
      <c r="J89" s="8">
        <f>IF(G89&gt;300,G89-360,0)</f>
        <v/>
      </c>
      <c r="K89" s="8">
        <f>IF(J89=0,G89,J89)</f>
        <v/>
      </c>
    </row>
    <row r="90" ht="15" customHeight="1">
      <c r="A90" s="11" t="n">
        <v>80</v>
      </c>
      <c r="B90" s="12" t="n">
        <v>183</v>
      </c>
      <c r="C90" s="12" t="n">
        <v>110</v>
      </c>
      <c r="D90" s="5" t="n">
        <v>136.5</v>
      </c>
      <c r="E90" s="9">
        <f>D90+1.5</f>
        <v/>
      </c>
      <c r="F90" s="9">
        <f>D90-1.5</f>
        <v/>
      </c>
      <c r="G90" s="25" t="n">
        <v>136.24</v>
      </c>
      <c r="H90" s="6">
        <f>IF(OR(K90&gt;E90,K90&lt;F90),"FAIL","PASS")</f>
        <v/>
      </c>
      <c r="I90" s="7">
        <f>G90-D90</f>
        <v/>
      </c>
      <c r="J90" s="8">
        <f>IF(G90&gt;300,G90-360,0)</f>
        <v/>
      </c>
      <c r="K90" s="8">
        <f>IF(J90=0,G90,J90)</f>
        <v/>
      </c>
    </row>
    <row r="91" ht="15" customHeight="1">
      <c r="A91" s="12" t="n">
        <v>81</v>
      </c>
      <c r="B91" s="12" t="n">
        <v>185</v>
      </c>
      <c r="C91" s="12" t="n">
        <v>282</v>
      </c>
      <c r="D91" s="5" t="n">
        <v>134.13</v>
      </c>
      <c r="E91" s="9">
        <f>D91+1.5</f>
        <v/>
      </c>
      <c r="F91" s="9">
        <f>D91-1.5</f>
        <v/>
      </c>
      <c r="G91" s="25" t="n">
        <v>133.85</v>
      </c>
      <c r="H91" s="6">
        <f>IF(OR(K91&gt;E91,K91&lt;F91),"FAIL","PASS")</f>
        <v/>
      </c>
      <c r="I91" s="7">
        <f>G91-D91</f>
        <v/>
      </c>
      <c r="J91" s="8">
        <f>IF(G91&gt;300,G91-360,0)</f>
        <v/>
      </c>
      <c r="K91" s="8">
        <f>IF(J91=0,G91,J91)</f>
        <v/>
      </c>
    </row>
    <row r="92" ht="15" customHeight="1">
      <c r="A92" s="12" t="n">
        <v>82</v>
      </c>
      <c r="B92" s="12" t="n">
        <v>188</v>
      </c>
      <c r="C92" s="12" t="n">
        <v>93</v>
      </c>
      <c r="D92" s="5" t="n">
        <v>131.75</v>
      </c>
      <c r="E92" s="9">
        <f>D92+1.5</f>
        <v/>
      </c>
      <c r="F92" s="9">
        <f>D92-1.5</f>
        <v/>
      </c>
      <c r="G92" s="25" t="n">
        <v>131.44</v>
      </c>
      <c r="H92" s="6">
        <f>IF(OR(K92&gt;E92,K92&lt;F92),"FAIL","PASS")</f>
        <v/>
      </c>
      <c r="I92" s="7">
        <f>G92-D92</f>
        <v/>
      </c>
      <c r="J92" s="8">
        <f>IF(G92&gt;300,G92-360,0)</f>
        <v/>
      </c>
      <c r="K92" s="8">
        <f>IF(J92=0,G92,J92)</f>
        <v/>
      </c>
    </row>
    <row r="93" ht="15" customHeight="1">
      <c r="A93" s="12" t="n">
        <v>83</v>
      </c>
      <c r="B93" s="12" t="n">
        <v>190</v>
      </c>
      <c r="C93" s="12" t="n">
        <v>265</v>
      </c>
      <c r="D93" s="5" t="n">
        <v>129.36</v>
      </c>
      <c r="E93" s="9">
        <f>D93+1.5</f>
        <v/>
      </c>
      <c r="F93" s="9">
        <f>D93-1.5</f>
        <v/>
      </c>
      <c r="G93" s="25" t="n">
        <v>129.08</v>
      </c>
      <c r="H93" s="6">
        <f>IF(OR(K93&gt;E93,K93&lt;F93),"FAIL","PASS")</f>
        <v/>
      </c>
      <c r="I93" s="7">
        <f>G93-D93</f>
        <v/>
      </c>
      <c r="J93" s="8">
        <f>IF(G93&gt;300,G93-360,0)</f>
        <v/>
      </c>
      <c r="K93" s="8">
        <f>IF(J93=0,G93,J93)</f>
        <v/>
      </c>
    </row>
    <row r="94" ht="15" customHeight="1">
      <c r="A94" s="12" t="n">
        <v>84</v>
      </c>
      <c r="B94" s="12" t="n">
        <v>193</v>
      </c>
      <c r="C94" s="12" t="n">
        <v>77</v>
      </c>
      <c r="D94" s="5" t="n">
        <v>126.99</v>
      </c>
      <c r="E94" s="9">
        <f>D94+1.5</f>
        <v/>
      </c>
      <c r="F94" s="9">
        <f>D94-1.5</f>
        <v/>
      </c>
      <c r="G94" s="25" t="n">
        <v>126.7</v>
      </c>
      <c r="H94" s="6">
        <f>IF(OR(K94&gt;E94,K94&lt;F94),"FAIL","PASS")</f>
        <v/>
      </c>
      <c r="I94" s="7">
        <f>G94-D94</f>
        <v/>
      </c>
      <c r="J94" s="8">
        <f>IF(G94&gt;300,G94-360,0)</f>
        <v/>
      </c>
      <c r="K94" s="8">
        <f>IF(J94=0,G94,J94)</f>
        <v/>
      </c>
    </row>
    <row r="95" ht="15" customHeight="1">
      <c r="A95" s="12" t="n">
        <v>85</v>
      </c>
      <c r="B95" s="12" t="n">
        <v>195</v>
      </c>
      <c r="C95" s="12" t="n">
        <v>249</v>
      </c>
      <c r="D95" s="5" t="n">
        <v>124.64</v>
      </c>
      <c r="E95" s="9">
        <f>D95+1.5</f>
        <v/>
      </c>
      <c r="F95" s="9">
        <f>D95-1.5</f>
        <v/>
      </c>
      <c r="G95" s="25" t="n">
        <v>124.36</v>
      </c>
      <c r="H95" s="6">
        <f>IF(OR(K95&gt;E95,K95&lt;F95),"FAIL","PASS")</f>
        <v/>
      </c>
      <c r="I95" s="7">
        <f>G95-D95</f>
        <v/>
      </c>
      <c r="J95" s="8">
        <f>IF(G95&gt;300,G95-360,0)</f>
        <v/>
      </c>
      <c r="K95" s="8">
        <f>IF(J95=0,G95,J95)</f>
        <v/>
      </c>
    </row>
    <row r="96" ht="15" customHeight="1">
      <c r="A96" s="12" t="n">
        <v>86</v>
      </c>
      <c r="B96" s="15" t="n">
        <v>198</v>
      </c>
      <c r="C96" s="12" t="n">
        <v>61</v>
      </c>
      <c r="D96" s="5" t="n">
        <v>122.28</v>
      </c>
      <c r="E96" s="9">
        <f>D96+1.5</f>
        <v/>
      </c>
      <c r="F96" s="9">
        <f>D96-1.5</f>
        <v/>
      </c>
      <c r="G96" s="25" t="n">
        <v>122.02</v>
      </c>
      <c r="H96" s="6">
        <f>IF(OR(K96&gt;E96,K96&lt;F96),"FAIL","PASS")</f>
        <v/>
      </c>
      <c r="I96" s="7">
        <f>G96-D96</f>
        <v/>
      </c>
      <c r="J96" s="8">
        <f>IF(G96&gt;300,G96-360,0)</f>
        <v/>
      </c>
      <c r="K96" s="8">
        <f>IF(J96=0,G96,J96)</f>
        <v/>
      </c>
    </row>
    <row r="97" ht="15" customHeight="1">
      <c r="A97" s="12" t="n">
        <v>87</v>
      </c>
      <c r="B97" s="12" t="n">
        <v>200</v>
      </c>
      <c r="C97" s="12" t="n">
        <v>252</v>
      </c>
      <c r="D97" s="5" t="n">
        <v>119.89</v>
      </c>
      <c r="E97" s="9">
        <f>D97+1.5</f>
        <v/>
      </c>
      <c r="F97" s="9">
        <f>D97-1.5</f>
        <v/>
      </c>
      <c r="G97" s="25" t="n">
        <v>119.66</v>
      </c>
      <c r="H97" s="6">
        <f>IF(OR(K97&gt;E97,K97&lt;F97),"FAIL","PASS")</f>
        <v/>
      </c>
      <c r="I97" s="7">
        <f>G97-D97</f>
        <v/>
      </c>
      <c r="J97" s="8">
        <f>IF(G97&gt;300,G97-360,0)</f>
        <v/>
      </c>
      <c r="K97" s="8">
        <f>IF(J97=0,G97,J97)</f>
        <v/>
      </c>
    </row>
    <row r="98" ht="15" customHeight="1">
      <c r="A98" s="12" t="n">
        <v>88</v>
      </c>
      <c r="B98" s="12" t="n">
        <v>203</v>
      </c>
      <c r="C98" s="12" t="n">
        <v>44</v>
      </c>
      <c r="D98" s="5" t="n">
        <v>117.51</v>
      </c>
      <c r="E98" s="9">
        <f>D98+1.5</f>
        <v/>
      </c>
      <c r="F98" s="9">
        <f>D98-1.5</f>
        <v/>
      </c>
      <c r="G98" s="25" t="n">
        <v>117.33</v>
      </c>
      <c r="H98" s="6">
        <f>IF(OR(K98&gt;E98,K98&lt;F98),"FAIL","PASS")</f>
        <v/>
      </c>
      <c r="I98" s="7">
        <f>G98-D98</f>
        <v/>
      </c>
      <c r="J98" s="8">
        <f>IF(G98&gt;300,G98-360,0)</f>
        <v/>
      </c>
      <c r="K98" s="8">
        <f>IF(J98=0,G98,J98)</f>
        <v/>
      </c>
    </row>
    <row r="99" ht="15" customHeight="1">
      <c r="A99" s="12" t="n">
        <v>89</v>
      </c>
      <c r="B99" s="12" t="n">
        <v>205</v>
      </c>
      <c r="C99" s="12" t="n">
        <v>216</v>
      </c>
      <c r="D99" s="5" t="n">
        <v>115.13</v>
      </c>
      <c r="E99" s="9">
        <f>D99+1.5</f>
        <v/>
      </c>
      <c r="F99" s="9">
        <f>D99-1.5</f>
        <v/>
      </c>
      <c r="G99" s="25" t="n">
        <v>115.09</v>
      </c>
      <c r="H99" s="6">
        <f>IF(OR(K99&gt;E99,K99&lt;F99),"FAIL","PASS")</f>
        <v/>
      </c>
      <c r="I99" s="7">
        <f>G99-D99</f>
        <v/>
      </c>
      <c r="J99" s="8">
        <f>IF(G99&gt;300,G99-360,0)</f>
        <v/>
      </c>
      <c r="K99" s="8">
        <f>IF(J99=0,G99,J99)</f>
        <v/>
      </c>
    </row>
    <row r="100" ht="15" customHeight="1">
      <c r="A100" s="12" t="n">
        <v>90</v>
      </c>
      <c r="B100" s="12" t="n">
        <v>207</v>
      </c>
      <c r="C100" s="12" t="n">
        <v>283</v>
      </c>
      <c r="D100" s="5" t="n">
        <v>113</v>
      </c>
      <c r="E100" s="9">
        <f>D100+1.5</f>
        <v/>
      </c>
      <c r="F100" s="9">
        <f>D100-1.5</f>
        <v/>
      </c>
      <c r="G100" s="25" t="n">
        <v>113</v>
      </c>
      <c r="H100" s="6">
        <f>IF(OR(K100&gt;E100,K100&lt;F100),"FAIL","PASS")</f>
        <v/>
      </c>
      <c r="I100" s="7">
        <f>G100-D100</f>
        <v/>
      </c>
      <c r="J100" s="8">
        <f>IF(G100&gt;300,G100-360,0)</f>
        <v/>
      </c>
      <c r="K100" s="8">
        <f>IF(J100=0,G100,J100)</f>
        <v/>
      </c>
    </row>
    <row r="101" ht="15" customHeight="1">
      <c r="A101" s="12" t="n">
        <v>91</v>
      </c>
      <c r="B101" s="12" t="n">
        <v>208</v>
      </c>
      <c r="C101" s="12" t="n">
        <v>28</v>
      </c>
      <c r="D101" s="5" t="n">
        <v>112.67</v>
      </c>
      <c r="E101" s="9">
        <f>D101+1.5</f>
        <v/>
      </c>
      <c r="F101" s="9">
        <f>D101-1.5</f>
        <v/>
      </c>
      <c r="G101" s="25" t="n">
        <v>112.71</v>
      </c>
      <c r="H101" s="6">
        <f>IF(OR(K101&gt;E101,K101&lt;F101),"FAIL","PASS")</f>
        <v/>
      </c>
      <c r="I101" s="7">
        <f>G101-D101</f>
        <v/>
      </c>
      <c r="J101" s="8">
        <f>IF(G101&gt;300,G101-360,0)</f>
        <v/>
      </c>
      <c r="K101" s="8">
        <f>IF(J101=0,G101,J101)</f>
        <v/>
      </c>
    </row>
    <row r="102" ht="15" customHeight="1">
      <c r="A102" s="12" t="n">
        <v>92</v>
      </c>
      <c r="B102" s="12" t="n">
        <v>210</v>
      </c>
      <c r="C102" s="12" t="n">
        <v>199</v>
      </c>
      <c r="D102" s="5" t="n">
        <v>110.26</v>
      </c>
      <c r="E102" s="9">
        <f>D102+1.5</f>
        <v/>
      </c>
      <c r="F102" s="9">
        <f>D102-1.5</f>
        <v/>
      </c>
      <c r="G102" s="25" t="n">
        <v>110.31</v>
      </c>
      <c r="H102" s="6">
        <f>IF(OR(K102&gt;E102,K102&lt;F102),"FAIL","PASS")</f>
        <v/>
      </c>
      <c r="I102" s="7">
        <f>G102-D102</f>
        <v/>
      </c>
      <c r="J102" s="8">
        <f>IF(G102&gt;300,G102-360,0)</f>
        <v/>
      </c>
      <c r="K102" s="8">
        <f>IF(J102=0,G102,J102)</f>
        <v/>
      </c>
    </row>
    <row r="103" ht="15" customHeight="1">
      <c r="A103" s="12" t="n">
        <v>93</v>
      </c>
      <c r="B103" s="12" t="n">
        <v>213</v>
      </c>
      <c r="C103" s="12" t="n">
        <v>11</v>
      </c>
      <c r="D103" s="5" t="n">
        <v>107.62</v>
      </c>
      <c r="E103" s="9">
        <f>D103+1.5</f>
        <v/>
      </c>
      <c r="F103" s="9">
        <f>D103-1.5</f>
        <v/>
      </c>
      <c r="G103" s="25" t="n">
        <v>107.54</v>
      </c>
      <c r="H103" s="6">
        <f>IF(OR(K103&gt;E103,K103&lt;F103),"FAIL","PASS")</f>
        <v/>
      </c>
      <c r="I103" s="7">
        <f>G103-D103</f>
        <v/>
      </c>
      <c r="J103" s="8">
        <f>IF(G103&gt;300,G103-360,0)</f>
        <v/>
      </c>
      <c r="K103" s="8">
        <f>IF(J103=0,G103,J103)</f>
        <v/>
      </c>
    </row>
    <row r="104" ht="15" customHeight="1">
      <c r="A104" s="12" t="n">
        <v>94</v>
      </c>
      <c r="B104" s="15" t="n">
        <v>215</v>
      </c>
      <c r="C104" s="12" t="n">
        <v>183</v>
      </c>
      <c r="D104" s="5" t="n">
        <v>104.97</v>
      </c>
      <c r="E104" s="9">
        <f>D104+1.5</f>
        <v/>
      </c>
      <c r="F104" s="9">
        <f>D104-1.5</f>
        <v/>
      </c>
      <c r="G104" s="25" t="n">
        <v>104.83</v>
      </c>
      <c r="H104" s="6">
        <f>IF(OR(K104&gt;E104,K104&lt;F104),"FAIL","PASS")</f>
        <v/>
      </c>
      <c r="I104" s="7">
        <f>G104-D104</f>
        <v/>
      </c>
      <c r="J104" s="8">
        <f>IF(G104&gt;300,G104-360,0)</f>
        <v/>
      </c>
      <c r="K104" s="8">
        <f>IF(J104=0,G104,J104)</f>
        <v/>
      </c>
    </row>
    <row r="105" ht="15" customHeight="1">
      <c r="A105" s="12" t="n">
        <v>95</v>
      </c>
      <c r="B105" s="12" t="n">
        <v>217</v>
      </c>
      <c r="C105" s="12" t="n">
        <v>355</v>
      </c>
      <c r="D105" s="5" t="n">
        <v>102.3</v>
      </c>
      <c r="E105" s="9">
        <f>D105+1.5</f>
        <v/>
      </c>
      <c r="F105" s="9">
        <f>D105-1.5</f>
        <v/>
      </c>
      <c r="G105" s="25" t="n">
        <v>102.13</v>
      </c>
      <c r="H105" s="6">
        <f>IF(OR(K105&gt;E105,K105&lt;F105),"FAIL","PASS")</f>
        <v/>
      </c>
      <c r="I105" s="7">
        <f>G105-D105</f>
        <v/>
      </c>
      <c r="J105" s="8">
        <f>IF(G105&gt;300,G105-360,0)</f>
        <v/>
      </c>
      <c r="K105" s="8">
        <f>IF(J105=0,G105,J105)</f>
        <v/>
      </c>
    </row>
    <row r="106" ht="15" customHeight="1">
      <c r="A106" s="12" t="n">
        <v>96</v>
      </c>
      <c r="B106" s="12" t="n">
        <v>220</v>
      </c>
      <c r="C106" s="12" t="n">
        <v>166</v>
      </c>
      <c r="D106" s="5" t="n">
        <v>99.62</v>
      </c>
      <c r="E106" s="9">
        <f>D106+1.5</f>
        <v/>
      </c>
      <c r="F106" s="9">
        <f>D106-1.5</f>
        <v/>
      </c>
      <c r="G106" s="25" t="n">
        <v>99.53</v>
      </c>
      <c r="H106" s="6">
        <f>IF(OR(K106&gt;E106,K106&lt;F106),"FAIL","PASS")</f>
        <v/>
      </c>
      <c r="I106" s="7">
        <f>G106-D106</f>
        <v/>
      </c>
      <c r="J106" s="8">
        <f>IF(G106&gt;300,G106-360,0)</f>
        <v/>
      </c>
      <c r="K106" s="8">
        <f>IF(J106=0,G106,J106)</f>
        <v/>
      </c>
    </row>
    <row r="107" ht="15" customHeight="1">
      <c r="A107" s="12" t="n">
        <v>97</v>
      </c>
      <c r="B107" s="12" t="n">
        <v>222</v>
      </c>
      <c r="C107" s="12" t="n">
        <v>338</v>
      </c>
      <c r="D107" s="5" t="n">
        <v>96.90000000000001</v>
      </c>
      <c r="E107" s="9">
        <f>D107+1.5</f>
        <v/>
      </c>
      <c r="F107" s="9">
        <f>D107-1.5</f>
        <v/>
      </c>
      <c r="G107" s="25" t="n">
        <v>96.84</v>
      </c>
      <c r="H107" s="6">
        <f>IF(OR(K107&gt;E107,K107&lt;F107),"FAIL","PASS")</f>
        <v/>
      </c>
      <c r="I107" s="7">
        <f>G107-D107</f>
        <v/>
      </c>
      <c r="J107" s="8">
        <f>IF(G107&gt;300,G107-360,0)</f>
        <v/>
      </c>
      <c r="K107" s="8">
        <f>IF(J107=0,G107,J107)</f>
        <v/>
      </c>
    </row>
    <row r="108" ht="15" customHeight="1">
      <c r="A108" s="12" t="n">
        <v>98</v>
      </c>
      <c r="B108" s="12" t="n">
        <v>225</v>
      </c>
      <c r="C108" s="12" t="n">
        <v>150</v>
      </c>
      <c r="D108" s="5" t="n">
        <v>94.2</v>
      </c>
      <c r="E108" s="9">
        <f>D108+1.5</f>
        <v/>
      </c>
      <c r="F108" s="9">
        <f>D108-1.5</f>
        <v/>
      </c>
      <c r="G108" s="25" t="n">
        <v>94.17</v>
      </c>
      <c r="H108" s="6">
        <f>IF(OR(K108&gt;E108,K108&lt;F108),"FAIL","PASS")</f>
        <v/>
      </c>
      <c r="I108" s="7">
        <f>G108-D108</f>
        <v/>
      </c>
      <c r="J108" s="8">
        <f>IF(G108&gt;300,G108-360,0)</f>
        <v/>
      </c>
      <c r="K108" s="8">
        <f>IF(J108=0,G108,J108)</f>
        <v/>
      </c>
    </row>
    <row r="109" ht="15" customHeight="1">
      <c r="A109" s="12" t="n">
        <v>99</v>
      </c>
      <c r="B109" s="12" t="n">
        <v>227</v>
      </c>
      <c r="C109" s="12" t="n">
        <v>322</v>
      </c>
      <c r="D109" s="5" t="n">
        <v>91.36</v>
      </c>
      <c r="E109" s="9">
        <f>D109+1.5</f>
        <v/>
      </c>
      <c r="F109" s="9">
        <f>D109-1.5</f>
        <v/>
      </c>
      <c r="G109" s="25" t="n">
        <v>91.42</v>
      </c>
      <c r="H109" s="6">
        <f>IF(OR(K109&gt;E109,K109&lt;F109),"FAIL","PASS")</f>
        <v/>
      </c>
      <c r="I109" s="7">
        <f>G109-D109</f>
        <v/>
      </c>
      <c r="J109" s="8">
        <f>IF(G109&gt;300,G109-360,0)</f>
        <v/>
      </c>
      <c r="K109" s="8">
        <f>IF(J109=0,G109,J109)</f>
        <v/>
      </c>
    </row>
    <row r="110" ht="15" customHeight="1">
      <c r="A110" s="12" t="n">
        <v>100</v>
      </c>
      <c r="B110" s="12" t="n">
        <v>230</v>
      </c>
      <c r="C110" s="12" t="n">
        <v>133</v>
      </c>
      <c r="D110" s="5" t="n">
        <v>88.62</v>
      </c>
      <c r="E110" s="9">
        <f>D110+1.5</f>
        <v/>
      </c>
      <c r="F110" s="9">
        <f>D110-1.5</f>
        <v/>
      </c>
      <c r="G110" s="25" t="n">
        <v>88.68000000000001</v>
      </c>
      <c r="H110" s="6">
        <f>IF(OR(K110&gt;E110,K110&lt;F110),"FAIL","PASS")</f>
        <v/>
      </c>
      <c r="I110" s="7">
        <f>G110-D110</f>
        <v/>
      </c>
      <c r="J110" s="8">
        <f>IF(G110&gt;300,G110-360,0)</f>
        <v/>
      </c>
      <c r="K110" s="8">
        <f>IF(J110=0,G110,J110)</f>
        <v/>
      </c>
    </row>
    <row r="111" ht="15" customHeight="1">
      <c r="A111" s="12" t="n">
        <v>101</v>
      </c>
      <c r="B111" s="12" t="n">
        <v>232</v>
      </c>
      <c r="C111" s="12" t="n">
        <v>305</v>
      </c>
      <c r="D111" s="5" t="n">
        <v>86.11</v>
      </c>
      <c r="E111" s="9">
        <f>D111+1.5</f>
        <v/>
      </c>
      <c r="F111" s="9">
        <f>D111-1.5</f>
        <v/>
      </c>
      <c r="G111" s="25" t="n">
        <v>86.08</v>
      </c>
      <c r="H111" s="6">
        <f>IF(OR(K111&gt;E111,K111&lt;F111),"FAIL","PASS")</f>
        <v/>
      </c>
      <c r="I111" s="7">
        <f>G111-D111</f>
        <v/>
      </c>
      <c r="J111" s="8">
        <f>IF(G111&gt;300,G111-360,0)</f>
        <v/>
      </c>
      <c r="K111" s="8">
        <f>IF(J111=0,G111,J111)</f>
        <v/>
      </c>
    </row>
    <row r="112" ht="15" customHeight="1">
      <c r="A112" s="12" t="n">
        <v>102</v>
      </c>
      <c r="B112" s="12" t="n">
        <v>235</v>
      </c>
      <c r="C112" s="12" t="n">
        <v>117</v>
      </c>
      <c r="D112" s="5" t="n">
        <v>83.73999999999999</v>
      </c>
      <c r="E112" s="9">
        <f>D112+1.5</f>
        <v/>
      </c>
      <c r="F112" s="9">
        <f>D112-1.5</f>
        <v/>
      </c>
      <c r="G112" s="25" t="n">
        <v>83.66</v>
      </c>
      <c r="H112" s="6">
        <f>IF(OR(K112&gt;E112,K112&lt;F112),"FAIL","PASS")</f>
        <v/>
      </c>
      <c r="I112" s="7">
        <f>G112-D112</f>
        <v/>
      </c>
      <c r="J112" s="8">
        <f>IF(G112&gt;300,G112-360,0)</f>
        <v/>
      </c>
      <c r="K112" s="8">
        <f>IF(J112=0,G112,J112)</f>
        <v/>
      </c>
    </row>
    <row r="113" ht="15" customHeight="1">
      <c r="A113" s="12" t="n">
        <v>103</v>
      </c>
      <c r="B113" s="12" t="n">
        <v>237</v>
      </c>
      <c r="C113" s="12" t="n">
        <v>289</v>
      </c>
      <c r="D113" s="5" t="n">
        <v>81.28</v>
      </c>
      <c r="E113" s="9">
        <f>D113+1.5</f>
        <v/>
      </c>
      <c r="F113" s="9">
        <f>D113-1.5</f>
        <v/>
      </c>
      <c r="G113" s="25" t="n">
        <v>81.28</v>
      </c>
      <c r="H113" s="6">
        <f>IF(OR(K113&gt;E113,K113&lt;F113),"FAIL","PASS")</f>
        <v/>
      </c>
      <c r="I113" s="7">
        <f>G113-D113</f>
        <v/>
      </c>
      <c r="J113" s="8">
        <f>IF(G113&gt;300,G113-360,0)</f>
        <v/>
      </c>
      <c r="K113" s="8">
        <f>IF(J113=0,G113,J113)</f>
        <v/>
      </c>
    </row>
    <row r="114" ht="15" customHeight="1">
      <c r="A114" s="12" t="n">
        <v>104</v>
      </c>
      <c r="B114" s="12" t="n">
        <v>240</v>
      </c>
      <c r="C114" s="12" t="n">
        <v>100</v>
      </c>
      <c r="D114" s="5" t="n">
        <v>78.87</v>
      </c>
      <c r="E114" s="9">
        <f>D114+1.5</f>
        <v/>
      </c>
      <c r="F114" s="9">
        <f>D114-1.5</f>
        <v/>
      </c>
      <c r="G114" s="25" t="n">
        <v>78.81999999999999</v>
      </c>
      <c r="H114" s="6">
        <f>IF(OR(K114&gt;E114,K114&lt;F114),"FAIL","PASS")</f>
        <v/>
      </c>
      <c r="I114" s="7">
        <f>G114-D114</f>
        <v/>
      </c>
      <c r="J114" s="8">
        <f>IF(G114&gt;300,G114-360,0)</f>
        <v/>
      </c>
      <c r="K114" s="8">
        <f>IF(J114=0,G114,J114)</f>
        <v/>
      </c>
    </row>
    <row r="115" ht="15" customHeight="1">
      <c r="A115" s="12" t="n">
        <v>105</v>
      </c>
      <c r="B115" s="15" t="n">
        <v>242</v>
      </c>
      <c r="C115" s="11" t="n">
        <v>272</v>
      </c>
      <c r="D115" s="5" t="n">
        <v>76.54000000000001</v>
      </c>
      <c r="E115" s="9">
        <f>D115+1.5</f>
        <v/>
      </c>
      <c r="F115" s="9">
        <f>D115-1.5</f>
        <v/>
      </c>
      <c r="G115" s="25" t="n">
        <v>76.56</v>
      </c>
      <c r="H115" s="6">
        <f>IF(OR(K115&gt;E115,K115&lt;F115),"FAIL","PASS")</f>
        <v/>
      </c>
      <c r="I115" s="7">
        <f>G115-D115</f>
        <v/>
      </c>
      <c r="J115" s="8">
        <f>IF(G115&gt;300,G115-360,0)</f>
        <v/>
      </c>
      <c r="K115" s="8">
        <f>IF(J115=0,G115,J115)</f>
        <v/>
      </c>
    </row>
    <row r="116" ht="15" customHeight="1">
      <c r="A116" s="12" t="n">
        <v>106</v>
      </c>
      <c r="B116" s="12" t="n">
        <v>243</v>
      </c>
      <c r="C116" s="12" t="n">
        <v>74</v>
      </c>
      <c r="D116" s="5" t="n">
        <v>76</v>
      </c>
      <c r="E116" s="9">
        <f>D116+1.5</f>
        <v/>
      </c>
      <c r="F116" s="9">
        <f>D116-1.5</f>
        <v/>
      </c>
      <c r="G116" s="25" t="n">
        <v>76.16</v>
      </c>
      <c r="H116" s="6">
        <f>IF(OR(K116&gt;E116,K116&lt;F116),"FAIL","PASS")</f>
        <v/>
      </c>
      <c r="I116" s="7">
        <f>G116-D116</f>
        <v/>
      </c>
      <c r="J116" s="8">
        <f>IF(G116&gt;300,G116-360,0)</f>
        <v/>
      </c>
      <c r="K116" s="8">
        <f>IF(J116=0,G116,J116)</f>
        <v/>
      </c>
    </row>
    <row r="117" ht="15" customHeight="1">
      <c r="A117" s="12" t="n">
        <v>107</v>
      </c>
      <c r="B117" s="12" t="n">
        <v>245</v>
      </c>
      <c r="C117" s="12" t="n">
        <v>84</v>
      </c>
      <c r="D117" s="5" t="n">
        <v>74.06</v>
      </c>
      <c r="E117" s="9">
        <f>D117+1.5</f>
        <v/>
      </c>
      <c r="F117" s="9">
        <f>D117-1.5</f>
        <v/>
      </c>
      <c r="G117" s="25" t="n">
        <v>74.12</v>
      </c>
      <c r="H117" s="6">
        <f>IF(OR(K117&gt;E117,K117&lt;F117),"FAIL","PASS")</f>
        <v/>
      </c>
      <c r="I117" s="7">
        <f>G117-D117</f>
        <v/>
      </c>
      <c r="J117" s="8">
        <f>IF(G117&gt;300,G117-360,0)</f>
        <v/>
      </c>
      <c r="K117" s="8">
        <f>IF(J117=0,G117,J117)</f>
        <v/>
      </c>
    </row>
    <row r="118" ht="15" customHeight="1">
      <c r="A118" s="12" t="n">
        <v>108</v>
      </c>
      <c r="B118" s="12" t="n">
        <v>247</v>
      </c>
      <c r="C118" s="12" t="n">
        <v>256</v>
      </c>
      <c r="D118" s="5" t="n">
        <v>71.59</v>
      </c>
      <c r="E118" s="9">
        <f>D118+1.5</f>
        <v/>
      </c>
      <c r="F118" s="9">
        <f>D118-1.5</f>
        <v/>
      </c>
      <c r="G118" s="25" t="n">
        <v>71.70999999999999</v>
      </c>
      <c r="H118" s="6">
        <f>IF(OR(K118&gt;E118,K118&lt;F118),"FAIL","PASS")</f>
        <v/>
      </c>
      <c r="I118" s="7">
        <f>G118-D118</f>
        <v/>
      </c>
      <c r="J118" s="8">
        <f>IF(G118&gt;300,G118-360,0)</f>
        <v/>
      </c>
      <c r="K118" s="8">
        <f>IF(J118=0,G118,J118)</f>
        <v/>
      </c>
    </row>
    <row r="119" ht="15" customHeight="1">
      <c r="A119" s="12" t="n">
        <v>109</v>
      </c>
      <c r="B119" s="12" t="n">
        <v>250</v>
      </c>
      <c r="C119" s="12" t="n">
        <v>67</v>
      </c>
      <c r="D119" s="5" t="n">
        <v>69.14</v>
      </c>
      <c r="E119" s="9">
        <f>D119+1.5</f>
        <v/>
      </c>
      <c r="F119" s="9">
        <f>D119-1.5</f>
        <v/>
      </c>
      <c r="G119" s="25" t="n">
        <v>69.31999999999999</v>
      </c>
      <c r="H119" s="6">
        <f>IF(OR(K119&gt;E119,K119&lt;F119),"FAIL","PASS")</f>
        <v/>
      </c>
      <c r="I119" s="7">
        <f>G119-D119</f>
        <v/>
      </c>
      <c r="J119" s="8">
        <f>IF(G119&gt;300,G119-360,0)</f>
        <v/>
      </c>
      <c r="K119" s="8">
        <f>IF(J119=0,G119,J119)</f>
        <v/>
      </c>
    </row>
    <row r="120" ht="15" customHeight="1">
      <c r="A120" s="12" t="n">
        <v>110</v>
      </c>
      <c r="B120" s="12" t="n">
        <v>252</v>
      </c>
      <c r="C120" s="12" t="n">
        <v>239</v>
      </c>
      <c r="D120" s="5" t="n">
        <v>66.64</v>
      </c>
      <c r="E120" s="9">
        <f>D120+1.5</f>
        <v/>
      </c>
      <c r="F120" s="9">
        <f>D120-1.5</f>
        <v/>
      </c>
      <c r="G120" s="25" t="n">
        <v>66.87</v>
      </c>
      <c r="H120" s="6">
        <f>IF(OR(K120&gt;E120,K120&lt;F120),"FAIL","PASS")</f>
        <v/>
      </c>
      <c r="I120" s="7">
        <f>G120-D120</f>
        <v/>
      </c>
      <c r="J120" s="8">
        <f>IF(G120&gt;300,G120-360,0)</f>
        <v/>
      </c>
      <c r="K120" s="8">
        <f>IF(J120=0,G120,J120)</f>
        <v/>
      </c>
    </row>
    <row r="121" ht="15" customHeight="1">
      <c r="A121" s="12" t="n">
        <v>111</v>
      </c>
      <c r="B121" s="12" t="n">
        <v>255</v>
      </c>
      <c r="C121" s="12" t="n">
        <v>51</v>
      </c>
      <c r="D121" s="5" t="n">
        <v>64.09999999999999</v>
      </c>
      <c r="E121" s="9">
        <f>D121+1.5</f>
        <v/>
      </c>
      <c r="F121" s="9">
        <f>D121-1.5</f>
        <v/>
      </c>
      <c r="G121" s="25" t="n">
        <v>64.34</v>
      </c>
      <c r="H121" s="6">
        <f>IF(OR(K121&gt;E121,K121&lt;F121),"FAIL","PASS")</f>
        <v/>
      </c>
      <c r="I121" s="7">
        <f>G121-D121</f>
        <v/>
      </c>
      <c r="J121" s="8">
        <f>IF(G121&gt;300,G121-360,0)</f>
        <v/>
      </c>
      <c r="K121" s="8">
        <f>IF(J121=0,G121,J121)</f>
        <v/>
      </c>
    </row>
    <row r="122" ht="15" customHeight="1">
      <c r="A122" s="12" t="n">
        <v>112</v>
      </c>
      <c r="B122" s="12" t="n">
        <v>257</v>
      </c>
      <c r="C122" s="12" t="n">
        <v>223</v>
      </c>
      <c r="D122" s="5" t="n">
        <v>61.54</v>
      </c>
      <c r="E122" s="9">
        <f>D122+1.5</f>
        <v/>
      </c>
      <c r="F122" s="9">
        <f>D122-1.5</f>
        <v/>
      </c>
      <c r="G122" s="25" t="n">
        <v>61.91</v>
      </c>
      <c r="H122" s="6">
        <f>IF(OR(K122&gt;E122,K122&lt;F122),"FAIL","PASS")</f>
        <v/>
      </c>
      <c r="I122" s="7">
        <f>G122-D122</f>
        <v/>
      </c>
      <c r="J122" s="8">
        <f>IF(G122&gt;300,G122-360,0)</f>
        <v/>
      </c>
      <c r="K122" s="8">
        <f>IF(J122=0,G122,J122)</f>
        <v/>
      </c>
    </row>
    <row r="123" ht="15" customHeight="1">
      <c r="A123" s="12" t="n">
        <v>113</v>
      </c>
      <c r="B123" s="12" t="n">
        <v>260</v>
      </c>
      <c r="C123" s="12" t="n">
        <v>34</v>
      </c>
      <c r="D123" s="5" t="n">
        <v>58.76</v>
      </c>
      <c r="E123" s="9">
        <f>D123+1.5</f>
        <v/>
      </c>
      <c r="F123" s="9">
        <f>D123-1.5</f>
        <v/>
      </c>
      <c r="G123" s="25" t="n">
        <v>59.17</v>
      </c>
      <c r="H123" s="6">
        <f>IF(OR(K123&gt;E123,K123&lt;F123),"FAIL","PASS")</f>
        <v/>
      </c>
      <c r="I123" s="7">
        <f>G123-D123</f>
        <v/>
      </c>
      <c r="J123" s="8">
        <f>IF(G123&gt;300,G123-360,0)</f>
        <v/>
      </c>
      <c r="K123" s="8">
        <f>IF(J123=0,G123,J123)</f>
        <v/>
      </c>
    </row>
    <row r="124" ht="15" customHeight="1">
      <c r="A124" s="12" t="n">
        <v>114</v>
      </c>
      <c r="B124" s="12" t="n">
        <v>262</v>
      </c>
      <c r="C124" s="12" t="n">
        <v>206</v>
      </c>
      <c r="D124" s="5" t="n">
        <v>55.54</v>
      </c>
      <c r="E124" s="9">
        <f>D124+1.5</f>
        <v/>
      </c>
      <c r="F124" s="9">
        <f>D124-1.5</f>
        <v/>
      </c>
      <c r="G124" s="25" t="n">
        <v>56.02</v>
      </c>
      <c r="H124" s="6">
        <f>IF(OR(K124&gt;E124,K124&lt;F124),"FAIL","PASS")</f>
        <v/>
      </c>
      <c r="I124" s="7">
        <f>G124-D124</f>
        <v/>
      </c>
      <c r="J124" s="8">
        <f>IF(G124&gt;300,G124-360,0)</f>
        <v/>
      </c>
      <c r="K124" s="8">
        <f>IF(J124=0,G124,J124)</f>
        <v/>
      </c>
    </row>
    <row r="125" ht="15" customHeight="1">
      <c r="A125" s="12" t="n">
        <v>115</v>
      </c>
      <c r="B125" s="12" t="n">
        <v>265</v>
      </c>
      <c r="C125" s="12" t="n">
        <v>18</v>
      </c>
      <c r="D125" s="5" t="n">
        <v>52.21</v>
      </c>
      <c r="E125" s="9">
        <f>D125+1.5</f>
        <v/>
      </c>
      <c r="F125" s="9">
        <f>D125-1.5</f>
        <v/>
      </c>
      <c r="G125" s="25" t="n">
        <v>52.69</v>
      </c>
      <c r="H125" s="6">
        <f>IF(OR(K125&gt;E125,K125&lt;F125),"FAIL","PASS")</f>
        <v/>
      </c>
      <c r="I125" s="7">
        <f>G125-D125</f>
        <v/>
      </c>
      <c r="J125" s="8">
        <f>IF(G125&gt;300,G125-360,0)</f>
        <v/>
      </c>
      <c r="K125" s="8">
        <f>IF(J125=0,G125,J125)</f>
        <v/>
      </c>
    </row>
    <row r="126" ht="15" customHeight="1">
      <c r="A126" s="12" t="n">
        <v>116</v>
      </c>
      <c r="B126" s="12" t="n">
        <v>267</v>
      </c>
      <c r="C126" s="12" t="n">
        <v>190</v>
      </c>
      <c r="D126" s="5" t="n">
        <v>48.71</v>
      </c>
      <c r="E126" s="9">
        <f>D126+1.5</f>
        <v/>
      </c>
      <c r="F126" s="9">
        <f>D126-1.5</f>
        <v/>
      </c>
      <c r="G126" s="25" t="n">
        <v>48.99</v>
      </c>
      <c r="H126" s="6">
        <f>IF(OR(K126&gt;E126,K126&lt;F126),"FAIL","PASS")</f>
        <v/>
      </c>
      <c r="I126" s="7">
        <f>G126-D126</f>
        <v/>
      </c>
      <c r="J126" s="8">
        <f>IF(G126&gt;300,G126-360,0)</f>
        <v/>
      </c>
      <c r="K126" s="8">
        <f>IF(J126=0,G126,J126)</f>
        <v/>
      </c>
    </row>
    <row r="127" ht="15" customHeight="1">
      <c r="A127" s="15" t="n">
        <v>117</v>
      </c>
      <c r="B127" s="12" t="n">
        <v>270</v>
      </c>
      <c r="C127" s="12" t="n">
        <v>1</v>
      </c>
      <c r="D127" s="5" t="n">
        <v>45.53</v>
      </c>
      <c r="E127" s="9">
        <f>D127+1.5</f>
        <v/>
      </c>
      <c r="F127" s="9">
        <f>D127-1.5</f>
        <v/>
      </c>
      <c r="G127" s="25" t="n">
        <v>45.69</v>
      </c>
      <c r="H127" s="6">
        <f>IF(OR(K127&gt;E127,K127&lt;F127),"FAIL","PASS")</f>
        <v/>
      </c>
      <c r="I127" s="7">
        <f>G127-D127</f>
        <v/>
      </c>
      <c r="J127" s="8">
        <f>IF(G127&gt;300,G127-360,0)</f>
        <v/>
      </c>
      <c r="K127" s="8">
        <f>IF(J127=0,G127,J127)</f>
        <v/>
      </c>
    </row>
    <row r="128" ht="15" customHeight="1">
      <c r="A128" s="12" t="n">
        <v>118</v>
      </c>
      <c r="B128" s="12" t="n">
        <v>272</v>
      </c>
      <c r="C128" s="12" t="n">
        <v>173</v>
      </c>
      <c r="D128" s="5" t="n">
        <v>42.8</v>
      </c>
      <c r="E128" s="9">
        <f>D128+1.5</f>
        <v/>
      </c>
      <c r="F128" s="9">
        <f>D128-1.5</f>
        <v/>
      </c>
      <c r="G128" s="25" t="n">
        <v>42.95</v>
      </c>
      <c r="H128" s="6">
        <f>IF(OR(K128&gt;E128,K128&lt;F128),"FAIL","PASS")</f>
        <v/>
      </c>
      <c r="I128" s="7">
        <f>G128-D128</f>
        <v/>
      </c>
      <c r="J128" s="8">
        <f>IF(G128&gt;300,G128-360,0)</f>
        <v/>
      </c>
      <c r="K128" s="8">
        <f>IF(J128=0,G128,J128)</f>
        <v/>
      </c>
    </row>
    <row r="129" ht="15" customHeight="1">
      <c r="A129" s="12" t="n">
        <v>119</v>
      </c>
      <c r="B129" s="12" t="n">
        <v>274</v>
      </c>
      <c r="C129" s="12" t="n">
        <v>345</v>
      </c>
      <c r="D129" s="5" t="n">
        <v>40.14</v>
      </c>
      <c r="E129" s="9">
        <f>D129+1.5</f>
        <v/>
      </c>
      <c r="F129" s="9">
        <f>D129-1.5</f>
        <v/>
      </c>
      <c r="G129" s="25" t="n">
        <v>40.48</v>
      </c>
      <c r="H129" s="6">
        <f>IF(OR(K129&gt;E129,K129&lt;F129),"FAIL","PASS")</f>
        <v/>
      </c>
      <c r="I129" s="7">
        <f>G129-D129</f>
        <v/>
      </c>
      <c r="J129" s="8">
        <f>IF(G129&gt;300,G129-360,0)</f>
        <v/>
      </c>
      <c r="K129" s="8">
        <f>IF(J129=0,G129,J129)</f>
        <v/>
      </c>
    </row>
    <row r="130" ht="15" customHeight="1">
      <c r="A130" s="12" t="n">
        <v>120</v>
      </c>
      <c r="B130" s="12" t="n">
        <v>277</v>
      </c>
      <c r="C130" s="12" t="n">
        <v>157</v>
      </c>
      <c r="D130" s="5" t="n">
        <v>37.78</v>
      </c>
      <c r="E130" s="9">
        <f>D130+1.5</f>
        <v/>
      </c>
      <c r="F130" s="9">
        <f>D130-1.5</f>
        <v/>
      </c>
      <c r="G130" s="25" t="n">
        <v>37.92</v>
      </c>
      <c r="H130" s="6">
        <f>IF(OR(K130&gt;E130,K130&lt;F130),"FAIL","PASS")</f>
        <v/>
      </c>
      <c r="I130" s="7">
        <f>G130-D130</f>
        <v/>
      </c>
      <c r="J130" s="8">
        <f>IF(G130&gt;300,G130-360,0)</f>
        <v/>
      </c>
      <c r="K130" s="8">
        <f>IF(J130=0,G130,J130)</f>
        <v/>
      </c>
    </row>
    <row r="131" ht="15" customHeight="1">
      <c r="A131" s="12" t="n">
        <v>121</v>
      </c>
      <c r="B131" s="12" t="n">
        <v>276</v>
      </c>
      <c r="C131" s="12" t="n">
        <v>238</v>
      </c>
      <c r="D131" s="5" t="n">
        <v>37</v>
      </c>
      <c r="E131" s="9">
        <f>D131+1.5</f>
        <v/>
      </c>
      <c r="F131" s="9">
        <f>D131-1.5</f>
        <v/>
      </c>
      <c r="G131" s="25" t="n">
        <v>37</v>
      </c>
      <c r="H131" s="6">
        <f>IF(OR(K131&gt;E131,K131&lt;F131),"FAIL","PASS")</f>
        <v/>
      </c>
      <c r="I131" s="7">
        <f>G131-D131</f>
        <v/>
      </c>
      <c r="J131" s="8">
        <f>IF(G131&gt;300,G131-360,0)</f>
        <v/>
      </c>
      <c r="K131" s="8">
        <f>IF(J131=0,G131,J131)</f>
        <v/>
      </c>
    </row>
    <row r="132" ht="15" customHeight="1">
      <c r="A132" s="12" t="n">
        <v>122</v>
      </c>
      <c r="B132" s="12" t="n">
        <v>279</v>
      </c>
      <c r="C132" s="12" t="n">
        <v>328</v>
      </c>
      <c r="D132" s="5" t="n">
        <v>36.37</v>
      </c>
      <c r="E132" s="9">
        <f>D132+1.5</f>
        <v/>
      </c>
      <c r="F132" s="9">
        <f>D132-1.5</f>
        <v/>
      </c>
      <c r="G132" s="25" t="n">
        <v>36.4</v>
      </c>
      <c r="H132" s="6">
        <f>IF(OR(K132&gt;E132,K132&lt;F132),"FAIL","PASS")</f>
        <v/>
      </c>
      <c r="I132" s="7">
        <f>G132-D132</f>
        <v/>
      </c>
      <c r="J132" s="8">
        <f>IF(G132&gt;300,G132-360,0)</f>
        <v/>
      </c>
      <c r="K132" s="8">
        <f>IF(J132=0,G132,J132)</f>
        <v/>
      </c>
    </row>
    <row r="133" ht="15" customHeight="1">
      <c r="A133" s="12" t="n">
        <v>123</v>
      </c>
      <c r="B133" s="12" t="n">
        <v>282</v>
      </c>
      <c r="C133" s="12" t="n">
        <v>140</v>
      </c>
      <c r="D133" s="5" t="n">
        <v>35.79</v>
      </c>
      <c r="E133" s="9">
        <f>D133+1.5</f>
        <v/>
      </c>
      <c r="F133" s="9">
        <f>D133-1.5</f>
        <v/>
      </c>
      <c r="G133" s="25" t="n">
        <v>35.99</v>
      </c>
      <c r="H133" s="6">
        <f>IF(OR(K133&gt;E133,K133&lt;F133),"FAIL","PASS")</f>
        <v/>
      </c>
      <c r="I133" s="7">
        <f>G133-D133</f>
        <v/>
      </c>
      <c r="J133" s="8">
        <f>IF(G133&gt;300,G133-360,0)</f>
        <v/>
      </c>
      <c r="K133" s="8">
        <f>IF(J133=0,G133,J133)</f>
        <v/>
      </c>
    </row>
    <row r="134" ht="15" customHeight="1">
      <c r="A134" s="12" t="n">
        <v>124</v>
      </c>
      <c r="B134" s="12" t="n">
        <v>284</v>
      </c>
      <c r="C134" s="12" t="n">
        <v>312</v>
      </c>
      <c r="D134" s="5" t="n">
        <v>35.24</v>
      </c>
      <c r="E134" s="9">
        <f>D134+1.5</f>
        <v/>
      </c>
      <c r="F134" s="9">
        <f>D134-1.5</f>
        <v/>
      </c>
      <c r="G134" s="25" t="n">
        <v>35.43</v>
      </c>
      <c r="H134" s="6">
        <f>IF(OR(K134&gt;E134,K134&lt;F134),"FAIL","PASS")</f>
        <v/>
      </c>
      <c r="I134" s="7">
        <f>G134-D134</f>
        <v/>
      </c>
      <c r="J134" s="8">
        <f>IF(G134&gt;300,G134-360,0)</f>
        <v/>
      </c>
      <c r="K134" s="8">
        <f>IF(J134=0,G134,J134)</f>
        <v/>
      </c>
    </row>
    <row r="135" ht="15" customHeight="1">
      <c r="A135" s="12" t="n">
        <v>125</v>
      </c>
      <c r="B135" s="12" t="n">
        <v>287</v>
      </c>
      <c r="C135" s="12" t="n">
        <v>124</v>
      </c>
      <c r="D135" s="5" t="n">
        <v>34.6</v>
      </c>
      <c r="E135" s="9">
        <f>D135+1.5</f>
        <v/>
      </c>
      <c r="F135" s="9">
        <f>D135-1.5</f>
        <v/>
      </c>
      <c r="G135" s="25" t="n">
        <v>34.8</v>
      </c>
      <c r="H135" s="6">
        <f>IF(OR(K135&gt;E135,K135&lt;F135),"FAIL","PASS")</f>
        <v/>
      </c>
      <c r="I135" s="7">
        <f>G135-D135</f>
        <v/>
      </c>
      <c r="J135" s="8">
        <f>IF(G135&gt;300,G135-360,0)</f>
        <v/>
      </c>
      <c r="K135" s="8">
        <f>IF(J135=0,G135,J135)</f>
        <v/>
      </c>
    </row>
    <row r="136" ht="15" customHeight="1">
      <c r="A136" s="12" t="n">
        <v>126</v>
      </c>
      <c r="B136" s="12" t="n">
        <v>289</v>
      </c>
      <c r="C136" s="12" t="n">
        <v>295</v>
      </c>
      <c r="D136" s="5" t="n">
        <v>33.8</v>
      </c>
      <c r="E136" s="9">
        <f>D136+1.5</f>
        <v/>
      </c>
      <c r="F136" s="9">
        <f>D136-1.5</f>
        <v/>
      </c>
      <c r="G136" s="25" t="n">
        <v>34.02</v>
      </c>
      <c r="H136" s="6">
        <f>IF(OR(K136&gt;E136,K136&lt;F136),"FAIL","PASS")</f>
        <v/>
      </c>
      <c r="I136" s="7">
        <f>G136-D136</f>
        <v/>
      </c>
      <c r="J136" s="8">
        <f>IF(G136&gt;300,G136-360,0)</f>
        <v/>
      </c>
      <c r="K136" s="8">
        <f>IF(J136=0,G136,J136)</f>
        <v/>
      </c>
    </row>
    <row r="137" ht="15" customHeight="1">
      <c r="A137" s="12" t="n">
        <v>127</v>
      </c>
      <c r="B137" s="12" t="n">
        <v>292</v>
      </c>
      <c r="C137" s="12" t="n">
        <v>107</v>
      </c>
      <c r="D137" s="5" t="n">
        <v>33.09</v>
      </c>
      <c r="E137" s="9">
        <f>D137+1.5</f>
        <v/>
      </c>
      <c r="F137" s="9">
        <f>D137-1.5</f>
        <v/>
      </c>
      <c r="G137" s="25" t="n">
        <v>33.28</v>
      </c>
      <c r="H137" s="6">
        <f>IF(OR(K137&gt;E137,K137&lt;F137),"FAIL","PASS")</f>
        <v/>
      </c>
      <c r="I137" s="7">
        <f>G137-D137</f>
        <v/>
      </c>
      <c r="J137" s="8">
        <f>IF(G137&gt;300,G137-360,0)</f>
        <v/>
      </c>
      <c r="K137" s="8">
        <f>IF(J137=0,G137,J137)</f>
        <v/>
      </c>
    </row>
    <row r="138" ht="15" customHeight="1">
      <c r="A138" s="12" t="n">
        <v>128</v>
      </c>
      <c r="B138" s="12" t="n">
        <v>294</v>
      </c>
      <c r="C138" s="12" t="n">
        <v>279</v>
      </c>
      <c r="D138" s="5" t="n">
        <v>32.46</v>
      </c>
      <c r="E138" s="9">
        <f>D138+1.5</f>
        <v/>
      </c>
      <c r="F138" s="9">
        <f>D138-1.5</f>
        <v/>
      </c>
      <c r="G138" s="25" t="n">
        <v>32.66</v>
      </c>
      <c r="H138" s="6">
        <f>IF(OR(K138&gt;E138,K138&lt;F138),"FAIL","PASS")</f>
        <v/>
      </c>
      <c r="I138" s="7">
        <f>G138-D138</f>
        <v/>
      </c>
      <c r="J138" s="8">
        <f>IF(G138&gt;300,G138-360,0)</f>
        <v/>
      </c>
      <c r="K138" s="8">
        <f>IF(J138=0,G138,J138)</f>
        <v/>
      </c>
    </row>
    <row r="139" ht="15" customHeight="1">
      <c r="A139" s="12" t="n">
        <v>129</v>
      </c>
      <c r="B139" s="12" t="n">
        <v>297</v>
      </c>
      <c r="C139" s="12" t="n">
        <v>91</v>
      </c>
      <c r="D139" s="5" t="n">
        <v>31.79</v>
      </c>
      <c r="E139" s="9">
        <f>D139+1.5</f>
        <v/>
      </c>
      <c r="F139" s="9">
        <f>D139-1.5</f>
        <v/>
      </c>
      <c r="G139" s="25" t="n">
        <v>31.96</v>
      </c>
      <c r="H139" s="6">
        <f>IF(OR(K139&gt;E139,K139&lt;F139),"FAIL","PASS")</f>
        <v/>
      </c>
      <c r="I139" s="7">
        <f>G139-D139</f>
        <v/>
      </c>
      <c r="J139" s="8">
        <f>IF(G139&gt;300,G139-360,0)</f>
        <v/>
      </c>
      <c r="K139" s="8">
        <f>IF(J139=0,G139,J139)</f>
        <v/>
      </c>
    </row>
    <row r="140" ht="15" customHeight="1">
      <c r="A140" s="11" t="n">
        <v>130</v>
      </c>
      <c r="B140" s="12" t="n">
        <v>299</v>
      </c>
      <c r="C140" s="12" t="n">
        <v>263</v>
      </c>
      <c r="D140" s="5" t="n">
        <v>31.1</v>
      </c>
      <c r="E140" s="9">
        <f>D140+1.5</f>
        <v/>
      </c>
      <c r="F140" s="9">
        <f>D140-1.5</f>
        <v/>
      </c>
      <c r="G140" s="25" t="n">
        <v>31.35</v>
      </c>
      <c r="H140" s="6">
        <f>IF(OR(K140&gt;E140,K140&lt;F140),"FAIL","PASS")</f>
        <v/>
      </c>
      <c r="I140" s="7">
        <f>G140-D140</f>
        <v/>
      </c>
      <c r="J140" s="8">
        <f>IF(G140&gt;300,G140-360,0)</f>
        <v/>
      </c>
      <c r="K140" s="8">
        <f>IF(J140=0,G140,J140)</f>
        <v/>
      </c>
    </row>
    <row r="141" ht="12.75" customHeight="1">
      <c r="A141" s="15" t="n">
        <v>131</v>
      </c>
      <c r="B141" s="11" t="inlineStr">
        <is>
          <t xml:space="preserve">302
</t>
        </is>
      </c>
      <c r="C141" s="11" t="n">
        <v>74</v>
      </c>
      <c r="D141" s="5" t="n">
        <v>30.44</v>
      </c>
      <c r="E141" s="9">
        <f>D141+1.5</f>
        <v/>
      </c>
      <c r="F141" s="9">
        <f>D141-1.5</f>
        <v/>
      </c>
      <c r="G141" s="25" t="n">
        <v>30.75</v>
      </c>
      <c r="H141" s="6">
        <f>IF(OR(K141&gt;E141,K141&lt;F141),"FAIL","PASS")</f>
        <v/>
      </c>
      <c r="I141" s="7">
        <f>G141-D141</f>
        <v/>
      </c>
      <c r="J141" s="8">
        <f>IF(G141&gt;300,G141-360,0)</f>
        <v/>
      </c>
      <c r="K141" s="8">
        <f>IF(J141=0,G141,J141)</f>
        <v/>
      </c>
    </row>
    <row r="142" ht="15" customHeight="1">
      <c r="A142" s="12" t="n">
        <v>132</v>
      </c>
      <c r="B142" s="12" t="n">
        <v>304</v>
      </c>
      <c r="C142" s="12" t="n">
        <v>246</v>
      </c>
      <c r="D142" s="5" t="n">
        <v>29.78</v>
      </c>
      <c r="E142" s="9">
        <f>D142+1.5</f>
        <v/>
      </c>
      <c r="F142" s="9">
        <f>D142-1.5</f>
        <v/>
      </c>
      <c r="G142" s="25" t="n">
        <v>30.07</v>
      </c>
      <c r="H142" s="6">
        <f>IF(OR(K142&gt;E142,K142&lt;F142),"FAIL","PASS")</f>
        <v/>
      </c>
      <c r="I142" s="7">
        <f>G142-D142</f>
        <v/>
      </c>
      <c r="J142" s="8">
        <f>IF(G142&gt;300,G142-360,0)</f>
        <v/>
      </c>
      <c r="K142" s="8">
        <f>IF(J142=0,G142,J142)</f>
        <v/>
      </c>
    </row>
    <row r="143" ht="15" customHeight="1">
      <c r="A143" s="12" t="n">
        <v>133</v>
      </c>
      <c r="B143" s="12" t="n">
        <v>307</v>
      </c>
      <c r="C143" s="12" t="n">
        <v>58</v>
      </c>
      <c r="D143" s="5" t="n">
        <v>29.15</v>
      </c>
      <c r="E143" s="9">
        <f>D143+1.5</f>
        <v/>
      </c>
      <c r="F143" s="9">
        <f>D143-1.5</f>
        <v/>
      </c>
      <c r="G143" s="25" t="n">
        <v>29.46</v>
      </c>
      <c r="H143" s="6">
        <f>IF(OR(K143&gt;E143,K143&lt;F143),"FAIL","PASS")</f>
        <v/>
      </c>
      <c r="I143" s="7">
        <f>G143-D143</f>
        <v/>
      </c>
      <c r="J143" s="8">
        <f>IF(G143&gt;300,G143-360,0)</f>
        <v/>
      </c>
      <c r="K143" s="8">
        <f>IF(J143=0,G143,J143)</f>
        <v/>
      </c>
    </row>
    <row r="144" ht="15" customHeight="1">
      <c r="A144" s="12" t="n">
        <v>134</v>
      </c>
      <c r="B144" s="12" t="n">
        <v>309</v>
      </c>
      <c r="C144" s="12" t="n">
        <v>230</v>
      </c>
      <c r="D144" s="5" t="n">
        <v>28.49</v>
      </c>
      <c r="E144" s="9">
        <f>D144+1.5</f>
        <v/>
      </c>
      <c r="F144" s="9">
        <f>D144-1.5</f>
        <v/>
      </c>
      <c r="G144" s="25" t="n">
        <v>28.76</v>
      </c>
      <c r="H144" s="6">
        <f>IF(OR(K144&gt;E144,K144&lt;F144),"FAIL","PASS")</f>
        <v/>
      </c>
      <c r="I144" s="7">
        <f>G144-D144</f>
        <v/>
      </c>
      <c r="J144" s="8">
        <f>IF(G144&gt;300,G144-360,0)</f>
        <v/>
      </c>
      <c r="K144" s="8">
        <f>IF(J144=0,G144,J144)</f>
        <v/>
      </c>
    </row>
    <row r="145" ht="15" customHeight="1">
      <c r="A145" s="12" t="n">
        <v>135</v>
      </c>
      <c r="B145" s="12" t="n">
        <v>312</v>
      </c>
      <c r="C145" s="12" t="n">
        <v>41</v>
      </c>
      <c r="D145" s="5" t="n">
        <v>27.83</v>
      </c>
      <c r="E145" s="9">
        <f>D145+1.5</f>
        <v/>
      </c>
      <c r="F145" s="9">
        <f>D145-1.5</f>
        <v/>
      </c>
      <c r="G145" s="25" t="n">
        <v>28.15</v>
      </c>
      <c r="H145" s="6">
        <f>IF(OR(K145&gt;E145,K145&lt;F145),"FAIL","PASS")</f>
        <v/>
      </c>
      <c r="I145" s="7">
        <f>G145-D145</f>
        <v/>
      </c>
      <c r="J145" s="8">
        <f>IF(G145&gt;300,G145-360,0)</f>
        <v/>
      </c>
      <c r="K145" s="8">
        <f>IF(J145=0,G145,J145)</f>
        <v/>
      </c>
    </row>
    <row r="146" ht="15" customHeight="1">
      <c r="A146" s="12" t="n">
        <v>136</v>
      </c>
      <c r="B146" s="12" t="n">
        <v>314</v>
      </c>
      <c r="C146" s="15" t="n">
        <v>213</v>
      </c>
      <c r="D146" s="5" t="n">
        <v>27.18</v>
      </c>
      <c r="E146" s="9">
        <f>D146+1.5</f>
        <v/>
      </c>
      <c r="F146" s="9">
        <f>D146-1.5</f>
        <v/>
      </c>
      <c r="G146" s="25" t="n">
        <v>27.45</v>
      </c>
      <c r="H146" s="6">
        <f>IF(OR(K146&gt;E146,K146&lt;F146),"FAIL","PASS")</f>
        <v/>
      </c>
      <c r="I146" s="7">
        <f>G146-D146</f>
        <v/>
      </c>
      <c r="J146" s="8">
        <f>IF(G146&gt;300,G146-360,0)</f>
        <v/>
      </c>
      <c r="K146" s="8">
        <f>IF(J146=0,G146,J146)</f>
        <v/>
      </c>
    </row>
    <row r="147" ht="15" customHeight="1">
      <c r="A147" s="12" t="n">
        <v>137</v>
      </c>
      <c r="B147" s="12" t="n">
        <v>317</v>
      </c>
      <c r="C147" s="12" t="n">
        <v>25</v>
      </c>
      <c r="D147" s="5" t="n">
        <v>26.51</v>
      </c>
      <c r="E147" s="9">
        <f>D147+1.5</f>
        <v/>
      </c>
      <c r="F147" s="9">
        <f>D147-1.5</f>
        <v/>
      </c>
      <c r="G147" s="25" t="n">
        <v>26.8</v>
      </c>
      <c r="H147" s="6">
        <f>IF(OR(K147&gt;E147,K147&lt;F147),"FAIL","PASS")</f>
        <v/>
      </c>
      <c r="I147" s="7">
        <f>G147-D147</f>
        <v/>
      </c>
      <c r="J147" s="8">
        <f>IF(G147&gt;300,G147-360,0)</f>
        <v/>
      </c>
      <c r="K147" s="8">
        <f>IF(J147=0,G147,J147)</f>
        <v/>
      </c>
    </row>
    <row r="148" ht="15" customHeight="1">
      <c r="A148" s="12" t="n">
        <v>138</v>
      </c>
      <c r="B148" s="12" t="n">
        <v>319</v>
      </c>
      <c r="C148" s="12" t="n">
        <v>197</v>
      </c>
      <c r="D148" s="5" t="n">
        <v>25.83</v>
      </c>
      <c r="E148" s="9">
        <f>D148+1.5</f>
        <v/>
      </c>
      <c r="F148" s="9">
        <f>D148-1.5</f>
        <v/>
      </c>
      <c r="G148" s="25" t="n">
        <v>26.13</v>
      </c>
      <c r="H148" s="6">
        <f>IF(OR(K148&gt;E148,K148&lt;F148),"FAIL","PASS")</f>
        <v/>
      </c>
      <c r="I148" s="7">
        <f>G148-D148</f>
        <v/>
      </c>
      <c r="J148" s="8">
        <f>IF(G148&gt;300,G148-360,0)</f>
        <v/>
      </c>
      <c r="K148" s="8">
        <f>IF(J148=0,G148,J148)</f>
        <v/>
      </c>
    </row>
    <row r="149" ht="15" customHeight="1">
      <c r="A149" s="12" t="n">
        <v>139</v>
      </c>
      <c r="B149" s="12" t="n">
        <v>322</v>
      </c>
      <c r="C149" s="12" t="n">
        <v>8</v>
      </c>
      <c r="D149" s="5" t="n">
        <v>25.18</v>
      </c>
      <c r="E149" s="9">
        <f>D149+1.5</f>
        <v/>
      </c>
      <c r="F149" s="9">
        <f>D149-1.5</f>
        <v/>
      </c>
      <c r="G149" s="25" t="n">
        <v>25.47</v>
      </c>
      <c r="H149" s="6">
        <f>IF(OR(K149&gt;E149,K149&lt;F149),"FAIL","PASS")</f>
        <v/>
      </c>
      <c r="I149" s="7">
        <f>G149-D149</f>
        <v/>
      </c>
      <c r="J149" s="8">
        <f>IF(G149&gt;300,G149-360,0)</f>
        <v/>
      </c>
      <c r="K149" s="8">
        <f>IF(J149=0,G149,J149)</f>
        <v/>
      </c>
    </row>
    <row r="150" ht="15" customHeight="1">
      <c r="A150" s="12" t="n">
        <v>140</v>
      </c>
      <c r="B150" s="12" t="n">
        <v>324</v>
      </c>
      <c r="C150" s="12" t="n">
        <v>180</v>
      </c>
      <c r="D150" s="5" t="n">
        <v>24.55</v>
      </c>
      <c r="E150" s="9">
        <f>D150+1.5</f>
        <v/>
      </c>
      <c r="F150" s="9">
        <f>D150-1.5</f>
        <v/>
      </c>
      <c r="G150" s="25" t="n">
        <v>24.74</v>
      </c>
      <c r="H150" s="6">
        <f>IF(OR(K150&gt;E150,K150&lt;F150),"FAIL","PASS")</f>
        <v/>
      </c>
      <c r="I150" s="7">
        <f>G150-D150</f>
        <v/>
      </c>
      <c r="J150" s="8">
        <f>IF(G150&gt;300,G150-360,0)</f>
        <v/>
      </c>
      <c r="K150" s="8">
        <f>IF(J150=0,G150,J150)</f>
        <v/>
      </c>
    </row>
    <row r="151" ht="15" customHeight="1">
      <c r="A151" s="12" t="n">
        <v>141</v>
      </c>
      <c r="B151" s="12" t="n">
        <v>326</v>
      </c>
      <c r="C151" s="12" t="n">
        <v>352</v>
      </c>
      <c r="D151" s="5" t="n">
        <v>23.9</v>
      </c>
      <c r="E151" s="9">
        <f>D151+1.5</f>
        <v/>
      </c>
      <c r="F151" s="9">
        <f>D151-1.5</f>
        <v/>
      </c>
      <c r="G151" s="25" t="n">
        <v>24.09</v>
      </c>
      <c r="H151" s="6">
        <f>IF(OR(K151&gt;E151,K151&lt;F151),"FAIL","PASS")</f>
        <v/>
      </c>
      <c r="I151" s="7">
        <f>G151-D151</f>
        <v/>
      </c>
      <c r="J151" s="8">
        <f>IF(G151&gt;300,G151-360,0)</f>
        <v/>
      </c>
      <c r="K151" s="8">
        <f>IF(J151=0,G151,J151)</f>
        <v/>
      </c>
    </row>
    <row r="152" ht="15" customHeight="1">
      <c r="A152" s="12" t="n">
        <v>142</v>
      </c>
      <c r="B152" s="12" t="n">
        <v>329</v>
      </c>
      <c r="C152" s="12" t="n">
        <v>164</v>
      </c>
      <c r="D152" s="5" t="n">
        <v>23.22</v>
      </c>
      <c r="E152" s="9">
        <f>D152+1.5</f>
        <v/>
      </c>
      <c r="F152" s="9">
        <f>D152-1.5</f>
        <v/>
      </c>
      <c r="G152" s="25" t="n">
        <v>23.39</v>
      </c>
      <c r="H152" s="6">
        <f>IF(OR(K152&gt;E152,K152&lt;F152),"FAIL","PASS")</f>
        <v/>
      </c>
      <c r="I152" s="7">
        <f>G152-D152</f>
        <v/>
      </c>
      <c r="J152" s="8">
        <f>IF(G152&gt;300,G152-360,0)</f>
        <v/>
      </c>
      <c r="K152" s="8">
        <f>IF(J152=0,G152,J152)</f>
        <v/>
      </c>
    </row>
    <row r="153" ht="15" customHeight="1">
      <c r="A153" s="12" t="n">
        <v>143</v>
      </c>
      <c r="B153" s="12" t="n">
        <v>331</v>
      </c>
      <c r="C153" s="12" t="n">
        <v>335</v>
      </c>
      <c r="D153" s="5" t="n">
        <v>22.59</v>
      </c>
      <c r="E153" s="9">
        <f>D153+1.5</f>
        <v/>
      </c>
      <c r="F153" s="9">
        <f>D153-1.5</f>
        <v/>
      </c>
      <c r="G153" s="25" t="n">
        <v>22.75</v>
      </c>
      <c r="H153" s="6">
        <f>IF(OR(K153&gt;E153,K153&lt;F153),"FAIL","PASS")</f>
        <v/>
      </c>
      <c r="I153" s="7">
        <f>G153-D153</f>
        <v/>
      </c>
      <c r="J153" s="8">
        <f>IF(G153&gt;300,G153-360,0)</f>
        <v/>
      </c>
      <c r="K153" s="8">
        <f>IF(J153=0,G153,J153)</f>
        <v/>
      </c>
    </row>
    <row r="154" ht="15" customHeight="1">
      <c r="A154" s="12" t="n">
        <v>144</v>
      </c>
      <c r="B154" s="12" t="n">
        <v>334</v>
      </c>
      <c r="C154" s="12" t="n">
        <v>147</v>
      </c>
      <c r="D154" s="5" t="n">
        <v>21.94</v>
      </c>
      <c r="E154" s="9">
        <f>D154+1.5</f>
        <v/>
      </c>
      <c r="F154" s="9">
        <f>D154-1.5</f>
        <v/>
      </c>
      <c r="G154" s="25" t="n">
        <v>22.1</v>
      </c>
      <c r="H154" s="6">
        <f>IF(OR(K154&gt;E154,K154&lt;F154),"FAIL","PASS")</f>
        <v/>
      </c>
      <c r="I154" s="7">
        <f>G154-D154</f>
        <v/>
      </c>
      <c r="J154" s="8">
        <f>IF(G154&gt;300,G154-360,0)</f>
        <v/>
      </c>
      <c r="K154" s="8">
        <f>IF(J154=0,G154,J154)</f>
        <v/>
      </c>
    </row>
    <row r="155" ht="15" customHeight="1">
      <c r="A155" s="12" t="n">
        <v>145</v>
      </c>
      <c r="B155" s="12" t="n">
        <v>336</v>
      </c>
      <c r="C155" s="12" t="n">
        <v>319</v>
      </c>
      <c r="D155" s="5" t="n">
        <v>21.28</v>
      </c>
      <c r="E155" s="9">
        <f>D155+1.5</f>
        <v/>
      </c>
      <c r="F155" s="9">
        <f>D155-1.5</f>
        <v/>
      </c>
      <c r="G155" s="25" t="n">
        <v>21.48</v>
      </c>
      <c r="H155" s="6">
        <f>IF(OR(K155&gt;E155,K155&lt;F155),"FAIL","PASS")</f>
        <v/>
      </c>
      <c r="I155" s="7">
        <f>G155-D155</f>
        <v/>
      </c>
      <c r="J155" s="8">
        <f>IF(G155&gt;300,G155-360,0)</f>
        <v/>
      </c>
      <c r="K155" s="8">
        <f>IF(J155=0,G155,J155)</f>
        <v/>
      </c>
    </row>
    <row r="156" ht="15" customHeight="1">
      <c r="A156" s="12" t="n">
        <v>146</v>
      </c>
      <c r="B156" s="12" t="n">
        <v>339</v>
      </c>
      <c r="C156" s="12" t="n">
        <v>131</v>
      </c>
      <c r="D156" s="5" t="n">
        <v>20.61</v>
      </c>
      <c r="E156" s="9">
        <f>D156+1.5</f>
        <v/>
      </c>
      <c r="F156" s="9">
        <f>D156-1.5</f>
        <v/>
      </c>
      <c r="G156" s="25" t="n">
        <v>20.82</v>
      </c>
      <c r="H156" s="6">
        <f>IF(OR(K156&gt;E156,K156&lt;F156),"FAIL","PASS")</f>
        <v/>
      </c>
      <c r="I156" s="7">
        <f>G156-D156</f>
        <v/>
      </c>
      <c r="J156" s="8">
        <f>IF(G156&gt;300,G156-360,0)</f>
        <v/>
      </c>
      <c r="K156" s="8">
        <f>IF(J156=0,G156,J156)</f>
        <v/>
      </c>
    </row>
    <row r="157" ht="15" customHeight="1">
      <c r="A157" s="12" t="n">
        <v>147</v>
      </c>
      <c r="B157" s="12" t="n">
        <v>341</v>
      </c>
      <c r="C157" s="12" t="n">
        <v>302</v>
      </c>
      <c r="D157" s="5" t="n">
        <v>19.96</v>
      </c>
      <c r="E157" s="9">
        <f>D157+1.5</f>
        <v/>
      </c>
      <c r="F157" s="9">
        <f>D157-1.5</f>
        <v/>
      </c>
      <c r="G157" s="25" t="n">
        <v>20.21</v>
      </c>
      <c r="H157" s="6">
        <f>IF(OR(K157&gt;E157,K157&lt;F157),"FAIL","PASS")</f>
        <v/>
      </c>
      <c r="I157" s="7">
        <f>G157-D157</f>
        <v/>
      </c>
      <c r="J157" s="8">
        <f>IF(G157&gt;300,G157-360,0)</f>
        <v/>
      </c>
      <c r="K157" s="8">
        <f>IF(J157=0,G157,J157)</f>
        <v/>
      </c>
    </row>
    <row r="158" ht="15" customHeight="1">
      <c r="A158" s="12" t="n">
        <v>148</v>
      </c>
      <c r="B158" s="12" t="n">
        <v>344</v>
      </c>
      <c r="C158" s="12" t="n">
        <v>114</v>
      </c>
      <c r="D158" s="5" t="n">
        <v>19.32</v>
      </c>
      <c r="E158" s="9">
        <f>D158+1.5</f>
        <v/>
      </c>
      <c r="F158" s="9">
        <f>D158-1.5</f>
        <v/>
      </c>
      <c r="G158" s="25" t="n">
        <v>19.54</v>
      </c>
      <c r="H158" s="6">
        <f>IF(OR(K158&gt;E158,K158&lt;F158),"FAIL","PASS")</f>
        <v/>
      </c>
      <c r="I158" s="7">
        <f>G158-D158</f>
        <v/>
      </c>
      <c r="J158" s="8">
        <f>IF(G158&gt;300,G158-360,0)</f>
        <v/>
      </c>
      <c r="K158" s="8">
        <f>IF(J158=0,G158,J158)</f>
        <v/>
      </c>
    </row>
    <row r="159" ht="15" customHeight="1">
      <c r="A159" s="12" t="n">
        <v>149</v>
      </c>
      <c r="B159" s="12" t="n">
        <v>346</v>
      </c>
      <c r="C159" s="12" t="n">
        <v>286</v>
      </c>
      <c r="D159" s="5" t="n">
        <v>18.65</v>
      </c>
      <c r="E159" s="9">
        <f>D159+1.5</f>
        <v/>
      </c>
      <c r="F159" s="9">
        <f>D159-1.5</f>
        <v/>
      </c>
      <c r="G159" s="25" t="n">
        <v>18.94</v>
      </c>
      <c r="H159" s="6">
        <f>IF(OR(K159&gt;E159,K159&lt;F159),"FAIL","PASS")</f>
        <v/>
      </c>
      <c r="I159" s="7">
        <f>G159-D159</f>
        <v/>
      </c>
      <c r="J159" s="8">
        <f>IF(G159&gt;300,G159-360,0)</f>
        <v/>
      </c>
      <c r="K159" s="8">
        <f>IF(J159=0,G159,J159)</f>
        <v/>
      </c>
    </row>
    <row r="160" ht="15" customHeight="1">
      <c r="A160" s="12" t="n">
        <v>150</v>
      </c>
      <c r="B160" s="12" t="n">
        <v>349</v>
      </c>
      <c r="C160" s="12" t="n">
        <v>98</v>
      </c>
      <c r="D160" s="5" t="n">
        <v>18</v>
      </c>
      <c r="E160" s="9">
        <f>D160+1.5</f>
        <v/>
      </c>
      <c r="F160" s="9">
        <f>D160-1.5</f>
        <v/>
      </c>
      <c r="G160" s="25" t="n">
        <v>18.28</v>
      </c>
      <c r="H160" s="6">
        <f>IF(OR(K160&gt;E160,K160&lt;F160),"FAIL","PASS")</f>
        <v/>
      </c>
      <c r="I160" s="7">
        <f>G160-D160</f>
        <v/>
      </c>
      <c r="J160" s="8">
        <f>IF(G160&gt;300,G160-360,0)</f>
        <v/>
      </c>
      <c r="K160" s="8">
        <f>IF(J160=0,G160,J160)</f>
        <v/>
      </c>
    </row>
    <row r="161" ht="15" customHeight="1">
      <c r="A161" s="12" t="n">
        <v>151</v>
      </c>
      <c r="B161" s="12" t="n">
        <v>351</v>
      </c>
      <c r="C161" s="12" t="n">
        <v>269</v>
      </c>
      <c r="D161" s="5" t="n">
        <v>17.36</v>
      </c>
      <c r="E161" s="9">
        <f>D161+1.5</f>
        <v/>
      </c>
      <c r="F161" s="9">
        <f>D161-1.5</f>
        <v/>
      </c>
      <c r="G161" s="25" t="n">
        <v>17.63</v>
      </c>
      <c r="H161" s="6">
        <f>IF(OR(K161&gt;E161,K161&lt;F161),"FAIL","PASS")</f>
        <v/>
      </c>
      <c r="I161" s="7">
        <f>G161-D161</f>
        <v/>
      </c>
      <c r="J161" s="8">
        <f>IF(G161&gt;300,G161-360,0)</f>
        <v/>
      </c>
      <c r="K161" s="8">
        <f>IF(J161=0,G161,J161)</f>
        <v/>
      </c>
    </row>
    <row r="162" ht="15" customHeight="1">
      <c r="A162" s="12" t="n">
        <v>152</v>
      </c>
      <c r="B162" s="12" t="n">
        <v>354</v>
      </c>
      <c r="C162" s="12" t="n">
        <v>81</v>
      </c>
      <c r="D162" s="5" t="n">
        <v>16.68</v>
      </c>
      <c r="E162" s="9">
        <f>D162+1.5</f>
        <v/>
      </c>
      <c r="F162" s="9">
        <f>D162-1.5</f>
        <v/>
      </c>
      <c r="G162" s="25" t="n">
        <v>16.95</v>
      </c>
      <c r="H162" s="6">
        <f>IF(OR(K162&gt;E162,K162&lt;F162),"FAIL","PASS")</f>
        <v/>
      </c>
      <c r="I162" s="7">
        <f>G162-D162</f>
        <v/>
      </c>
      <c r="J162" s="8">
        <f>IF(G162&gt;300,G162-360,0)</f>
        <v/>
      </c>
      <c r="K162" s="8">
        <f>IF(J162=0,G162,J162)</f>
        <v/>
      </c>
    </row>
    <row r="163" ht="15" customHeight="1">
      <c r="A163" s="12" t="n">
        <v>153</v>
      </c>
      <c r="B163" s="12" t="n">
        <v>356</v>
      </c>
      <c r="C163" s="12" t="n">
        <v>253</v>
      </c>
      <c r="D163" s="5" t="n">
        <v>15.98</v>
      </c>
      <c r="E163" s="9">
        <f>D163+1.5</f>
        <v/>
      </c>
      <c r="F163" s="9">
        <f>D163-1.5</f>
        <v/>
      </c>
      <c r="G163" s="25" t="n">
        <v>16.33</v>
      </c>
      <c r="H163" s="6">
        <f>IF(OR(K163&gt;E163,K163&lt;F163),"FAIL","PASS")</f>
        <v/>
      </c>
      <c r="I163" s="7">
        <f>G163-D163</f>
        <v/>
      </c>
      <c r="J163" s="8">
        <f>IF(G163&gt;300,G163-360,0)</f>
        <v/>
      </c>
      <c r="K163" s="8">
        <f>IF(J163=0,G163,J163)</f>
        <v/>
      </c>
    </row>
    <row r="164" ht="15" customHeight="1">
      <c r="A164" s="12" t="n">
        <v>154</v>
      </c>
      <c r="B164" s="12" t="n">
        <v>359</v>
      </c>
      <c r="C164" s="12" t="n">
        <v>65</v>
      </c>
      <c r="D164" s="16" t="n">
        <v>15.31</v>
      </c>
      <c r="E164" s="9">
        <f>D164+1.5</f>
        <v/>
      </c>
      <c r="F164" s="9">
        <f>D164-1.5</f>
        <v/>
      </c>
      <c r="G164" s="25" t="n">
        <v>15.63</v>
      </c>
      <c r="H164" s="6">
        <f>IF(OR(K164&gt;E164,K164&lt;F164),"FAIL","PASS")</f>
        <v/>
      </c>
      <c r="I164" s="7">
        <f>G164-D164</f>
        <v/>
      </c>
      <c r="J164" s="8">
        <f>IF(G164&gt;300,G164-360,0)</f>
        <v/>
      </c>
      <c r="K164" s="8">
        <f>IF(J164=0,G164,J164)</f>
        <v/>
      </c>
    </row>
    <row r="165" ht="15" customHeight="1">
      <c r="A165" s="12" t="n">
        <v>155</v>
      </c>
      <c r="B165" s="12" t="n">
        <v>361</v>
      </c>
      <c r="C165" s="12" t="n">
        <v>236</v>
      </c>
      <c r="D165" s="5" t="n">
        <v>14.64</v>
      </c>
      <c r="E165" s="9">
        <f>D165+1.5</f>
        <v/>
      </c>
      <c r="F165" s="9">
        <f>D165-1.5</f>
        <v/>
      </c>
      <c r="G165" s="25" t="n">
        <v>14.98</v>
      </c>
      <c r="H165" s="6">
        <f>IF(OR(K165&gt;E165,K165&lt;F165),"FAIL","PASS")</f>
        <v/>
      </c>
      <c r="I165" s="7">
        <f>G165-D165</f>
        <v/>
      </c>
      <c r="J165" s="8">
        <f>IF(G165&gt;300,G165-360,0)</f>
        <v/>
      </c>
      <c r="K165" s="8">
        <f>IF(J165=0,G165,J165)</f>
        <v/>
      </c>
    </row>
    <row r="166" ht="15" customHeight="1">
      <c r="A166" s="12" t="n">
        <v>156</v>
      </c>
      <c r="B166" s="12" t="n">
        <v>364</v>
      </c>
      <c r="C166" s="12" t="n">
        <v>48</v>
      </c>
      <c r="D166" s="5" t="n">
        <v>13.97</v>
      </c>
      <c r="E166" s="9">
        <f>D166+1.5</f>
        <v/>
      </c>
      <c r="F166" s="9">
        <f>D166-1.5</f>
        <v/>
      </c>
      <c r="G166" s="25" t="n">
        <v>14.28</v>
      </c>
      <c r="H166" s="6">
        <f>IF(OR(K166&gt;E166,K166&lt;F166),"FAIL","PASS")</f>
        <v/>
      </c>
      <c r="I166" s="7">
        <f>G166-D166</f>
        <v/>
      </c>
      <c r="J166" s="8">
        <f>IF(G166&gt;300,G166-360,0)</f>
        <v/>
      </c>
      <c r="K166" s="8">
        <f>IF(J166=0,G166,J166)</f>
        <v/>
      </c>
    </row>
    <row r="167" ht="15" customHeight="1">
      <c r="A167" s="12" t="n">
        <v>157</v>
      </c>
      <c r="B167" s="12" t="n">
        <v>366</v>
      </c>
      <c r="C167" s="12" t="n">
        <v>220</v>
      </c>
      <c r="D167" s="5" t="n">
        <v>13.31</v>
      </c>
      <c r="E167" s="9">
        <f>D167+1.5</f>
        <v/>
      </c>
      <c r="F167" s="9">
        <f>D167-1.5</f>
        <v/>
      </c>
      <c r="G167" s="25" t="n">
        <v>13.62</v>
      </c>
      <c r="H167" s="6">
        <f>IF(OR(K167&gt;E167,K167&lt;F167),"FAIL","PASS")</f>
        <v/>
      </c>
      <c r="I167" s="7">
        <f>G167-D167</f>
        <v/>
      </c>
      <c r="J167" s="8">
        <f>IF(G167&gt;300,G167-360,0)</f>
        <v/>
      </c>
      <c r="K167" s="8">
        <f>IF(J167=0,G167,J167)</f>
        <v/>
      </c>
    </row>
    <row r="168" ht="15" customHeight="1">
      <c r="A168" s="12" t="n">
        <v>158</v>
      </c>
      <c r="B168" s="12" t="n">
        <v>369</v>
      </c>
      <c r="C168" s="12" t="n">
        <v>32</v>
      </c>
      <c r="D168" s="5" t="n">
        <v>12.6</v>
      </c>
      <c r="E168" s="9">
        <f>D168+1.5</f>
        <v/>
      </c>
      <c r="F168" s="9">
        <f>D168-1.5</f>
        <v/>
      </c>
      <c r="G168" s="25" t="n">
        <v>12.91</v>
      </c>
      <c r="H168" s="6">
        <f>IF(OR(K168&gt;E168,K168&lt;F168),"FAIL","PASS")</f>
        <v/>
      </c>
      <c r="I168" s="7">
        <f>G168-D168</f>
        <v/>
      </c>
      <c r="J168" s="8">
        <f>IF(G168&gt;300,G168-360,0)</f>
        <v/>
      </c>
      <c r="K168" s="8">
        <f>IF(J168=0,G168,J168)</f>
        <v/>
      </c>
    </row>
    <row r="169" ht="14.25" customHeight="1">
      <c r="A169" s="11" t="inlineStr">
        <is>
          <t xml:space="preserve">159
</t>
        </is>
      </c>
      <c r="B169" s="11" t="n">
        <v>371</v>
      </c>
      <c r="C169" s="12" t="n">
        <v>203</v>
      </c>
      <c r="D169" s="5" t="n">
        <v>11.56</v>
      </c>
      <c r="E169" s="9">
        <f>D169+1.5</f>
        <v/>
      </c>
      <c r="F169" s="9">
        <f>D169-1.5</f>
        <v/>
      </c>
      <c r="G169" s="25" t="n">
        <v>12.27</v>
      </c>
      <c r="H169" s="6">
        <f>IF(OR(K169&gt;E169,K169&lt;F169),"FAIL","PASS")</f>
        <v/>
      </c>
      <c r="I169" s="7">
        <f>G169-D169</f>
        <v/>
      </c>
      <c r="J169" s="8">
        <f>IF(G169&gt;300,G169-360,0)</f>
        <v/>
      </c>
      <c r="K169" s="8">
        <f>IF(J169=0,G169,J169)</f>
        <v/>
      </c>
    </row>
    <row r="170" ht="15" customHeight="1">
      <c r="A170" s="12" t="n">
        <v>160</v>
      </c>
      <c r="B170" s="11" t="n">
        <v>374</v>
      </c>
      <c r="C170" s="12" t="n">
        <v>15</v>
      </c>
      <c r="D170" s="5" t="n">
        <v>10.75</v>
      </c>
      <c r="E170" s="9">
        <f>D170+1.5</f>
        <v/>
      </c>
      <c r="F170" s="9">
        <f>D170-1.5</f>
        <v/>
      </c>
      <c r="G170" s="25" t="n">
        <v>11.58</v>
      </c>
      <c r="H170" s="6">
        <f>IF(OR(K170&gt;E170,K170&lt;F170),"FAIL","PASS")</f>
        <v/>
      </c>
      <c r="I170" s="7">
        <f>G170-D170</f>
        <v/>
      </c>
      <c r="J170" s="8">
        <f>IF(G170&gt;300,G170-360,0)</f>
        <v/>
      </c>
      <c r="K170" s="8">
        <f>IF(J170=0,G170,J170)</f>
        <v/>
      </c>
    </row>
    <row r="171" ht="15" customHeight="1">
      <c r="A171" s="12" t="n">
        <v>161</v>
      </c>
      <c r="B171" s="12" t="n">
        <v>376</v>
      </c>
      <c r="C171" s="12" t="n">
        <v>187</v>
      </c>
      <c r="D171" s="5" t="n">
        <v>10.07</v>
      </c>
      <c r="E171" s="9">
        <f>D171+1.5</f>
        <v/>
      </c>
      <c r="F171" s="9">
        <f>D171-1.5</f>
        <v/>
      </c>
      <c r="G171" s="25" t="n">
        <v>10.98</v>
      </c>
      <c r="H171" s="6">
        <f>IF(OR(K171&gt;E171,K171&lt;F171),"FAIL","PASS")</f>
        <v/>
      </c>
      <c r="I171" s="7">
        <f>G171-D171</f>
        <v/>
      </c>
      <c r="J171" s="8">
        <f>IF(G171&gt;300,G171-360,0)</f>
        <v/>
      </c>
      <c r="K171" s="8">
        <f>IF(J171=0,G171,J171)</f>
        <v/>
      </c>
    </row>
    <row r="172" ht="12.75" customHeight="1">
      <c r="A172" s="12" t="n">
        <v>162</v>
      </c>
      <c r="B172" s="11" t="inlineStr">
        <is>
          <t xml:space="preserve"> 378
</t>
        </is>
      </c>
      <c r="C172" s="12" t="n">
        <v>359</v>
      </c>
      <c r="D172" s="5" t="n">
        <v>9.43</v>
      </c>
      <c r="E172" s="9">
        <f>D172+1.5</f>
        <v/>
      </c>
      <c r="F172" s="9">
        <f>D172-1.5</f>
        <v/>
      </c>
      <c r="G172" s="25" t="n">
        <v>10.36</v>
      </c>
      <c r="H172" s="6">
        <f>IF(OR(K172&gt;E172,K172&lt;F172),"FAIL","PASS")</f>
        <v/>
      </c>
      <c r="I172" s="7">
        <f>G172-D172</f>
        <v/>
      </c>
      <c r="J172" s="8">
        <f>IF(G172&gt;300,G172-360,0)</f>
        <v/>
      </c>
      <c r="K172" s="8">
        <f>IF(J172=0,G172,J172)</f>
        <v/>
      </c>
    </row>
    <row r="173" ht="15" customHeight="1">
      <c r="A173" s="12" t="n">
        <v>163</v>
      </c>
      <c r="B173" s="12" t="n">
        <v>381</v>
      </c>
      <c r="C173" s="12" t="n">
        <v>170</v>
      </c>
      <c r="D173" s="5" t="n">
        <v>8.779999999999999</v>
      </c>
      <c r="E173" s="9">
        <f>D173+1.5</f>
        <v/>
      </c>
      <c r="F173" s="9">
        <f>D173-1.5</f>
        <v/>
      </c>
      <c r="G173" s="25" t="n">
        <v>9.77</v>
      </c>
      <c r="H173" s="6">
        <f>IF(OR(K173&gt;E173,K173&lt;F173),"FAIL","PASS")</f>
        <v/>
      </c>
      <c r="I173" s="7">
        <f>G173-D173</f>
        <v/>
      </c>
      <c r="J173" s="8">
        <f>IF(G173&gt;300,G173-360,0)</f>
        <v/>
      </c>
      <c r="K173" s="8">
        <f>IF(J173=0,G173,J173)</f>
        <v/>
      </c>
    </row>
    <row r="174" ht="15" customHeight="1">
      <c r="A174" s="12" t="n">
        <v>164</v>
      </c>
      <c r="B174" s="12" t="n">
        <v>383</v>
      </c>
      <c r="C174" s="12" t="n">
        <v>342</v>
      </c>
      <c r="D174" s="5" t="n">
        <v>8.17</v>
      </c>
      <c r="E174" s="9">
        <f>D174+1.5</f>
        <v/>
      </c>
      <c r="F174" s="9">
        <f>D174-1.5</f>
        <v/>
      </c>
      <c r="G174" s="25" t="n">
        <v>9.130000000000001</v>
      </c>
      <c r="H174" s="6">
        <f>IF(OR(K174&gt;E174,K174&lt;F174),"FAIL","PASS")</f>
        <v/>
      </c>
      <c r="I174" s="7">
        <f>G174-D174</f>
        <v/>
      </c>
      <c r="J174" s="8">
        <f>IF(G174&gt;300,G174-360,0)</f>
        <v/>
      </c>
      <c r="K174" s="8">
        <f>IF(J174=0,G174,J174)</f>
        <v/>
      </c>
    </row>
    <row r="175" ht="15" customHeight="1">
      <c r="A175" s="12" t="n">
        <v>165</v>
      </c>
      <c r="B175" s="12" t="n">
        <v>386</v>
      </c>
      <c r="C175" s="12" t="n">
        <v>154</v>
      </c>
      <c r="D175" s="5" t="n">
        <v>7.52</v>
      </c>
      <c r="E175" s="9">
        <f>D175+1.5</f>
        <v/>
      </c>
      <c r="F175" s="9">
        <f>D175-1.5</f>
        <v/>
      </c>
      <c r="G175" s="25" t="n">
        <v>8.51</v>
      </c>
      <c r="H175" s="6">
        <f>IF(OR(K175&gt;E175,K175&lt;F175),"FAIL","PASS")</f>
        <v/>
      </c>
      <c r="I175" s="7">
        <f>G175-D175</f>
        <v/>
      </c>
      <c r="J175" s="8">
        <f>IF(G175&gt;300,G175-360,0)</f>
        <v/>
      </c>
      <c r="K175" s="8">
        <f>IF(J175=0,G175,J175)</f>
        <v/>
      </c>
    </row>
    <row r="176" ht="15" customHeight="1">
      <c r="A176" s="12" t="n">
        <v>166</v>
      </c>
      <c r="B176" s="12" t="n">
        <v>388</v>
      </c>
      <c r="C176" s="12" t="n">
        <v>326</v>
      </c>
      <c r="D176" s="5" t="n">
        <v>6.88</v>
      </c>
      <c r="E176" s="9">
        <f>D176+1.5</f>
        <v/>
      </c>
      <c r="F176" s="9">
        <f>D176-1.5</f>
        <v/>
      </c>
      <c r="G176" s="25" t="n">
        <v>7.85</v>
      </c>
      <c r="H176" s="6">
        <f>IF(OR(K176&gt;E176,K176&lt;F176),"FAIL","PASS")</f>
        <v/>
      </c>
      <c r="I176" s="7">
        <f>G176-D176</f>
        <v/>
      </c>
      <c r="J176" s="8">
        <f>IF(G176&gt;300,G176-360,0)</f>
        <v/>
      </c>
      <c r="K176" s="8">
        <f>IF(J176=0,G176,J176)</f>
        <v/>
      </c>
    </row>
    <row r="177" ht="15" customHeight="1">
      <c r="A177" s="12" t="n">
        <v>167</v>
      </c>
      <c r="B177" s="12" t="n">
        <v>391</v>
      </c>
      <c r="C177" s="12" t="n">
        <v>137</v>
      </c>
      <c r="D177" s="5" t="n">
        <v>6.23</v>
      </c>
      <c r="E177" s="9">
        <f>D177+1.5</f>
        <v/>
      </c>
      <c r="F177" s="9">
        <f>D177-1.5</f>
        <v/>
      </c>
      <c r="G177" s="25" t="n">
        <v>7.21</v>
      </c>
      <c r="H177" s="6">
        <f>IF(OR(K177&gt;E177,K177&lt;F177),"FAIL","PASS")</f>
        <v/>
      </c>
      <c r="I177" s="7">
        <f>G177-D177</f>
        <v/>
      </c>
      <c r="J177" s="8">
        <f>IF(G177&gt;300,G177-360,0)</f>
        <v/>
      </c>
      <c r="K177" s="8">
        <f>IF(J177=0,G177,J177)</f>
        <v/>
      </c>
    </row>
    <row r="178" ht="15" customHeight="1">
      <c r="A178" s="12" t="n">
        <v>168</v>
      </c>
      <c r="B178" s="12" t="n">
        <v>393</v>
      </c>
      <c r="C178" s="12" t="n">
        <v>309</v>
      </c>
      <c r="D178" s="5" t="n">
        <v>5.52</v>
      </c>
      <c r="E178" s="9">
        <f>D178+1.5</f>
        <v/>
      </c>
      <c r="F178" s="9">
        <f>D178-1.5</f>
        <v/>
      </c>
      <c r="G178" s="25" t="n">
        <v>6.55</v>
      </c>
      <c r="H178" s="6">
        <f>IF(OR(K178&gt;E178,K178&lt;F178),"FAIL","PASS")</f>
        <v/>
      </c>
      <c r="I178" s="7">
        <f>G178-D178</f>
        <v/>
      </c>
      <c r="J178" s="8">
        <f>IF(G178&gt;300,G178-360,0)</f>
        <v/>
      </c>
      <c r="K178" s="8">
        <f>IF(J178=0,G178,J178)</f>
        <v/>
      </c>
    </row>
    <row r="179" ht="15" customHeight="1">
      <c r="A179" s="12" t="n">
        <v>169</v>
      </c>
      <c r="B179" s="12" t="n">
        <v>396</v>
      </c>
      <c r="C179" s="12" t="n">
        <v>121</v>
      </c>
      <c r="D179" s="5" t="n">
        <v>4.84</v>
      </c>
      <c r="E179" s="9">
        <f>D179+1.5</f>
        <v/>
      </c>
      <c r="F179" s="9">
        <f>D179-1.5</f>
        <v/>
      </c>
      <c r="G179" s="25" t="n">
        <v>5.87</v>
      </c>
      <c r="H179" s="6">
        <f>IF(OR(K179&gt;E179,K179&lt;F179),"FAIL","PASS")</f>
        <v/>
      </c>
      <c r="I179" s="7">
        <f>G179-D179</f>
        <v/>
      </c>
      <c r="J179" s="8">
        <f>IF(G179&gt;300,G179-360,0)</f>
        <v/>
      </c>
      <c r="K179" s="8">
        <f>IF(J179=0,G179,J179)</f>
        <v/>
      </c>
    </row>
    <row r="180" ht="15" customHeight="1">
      <c r="A180" s="12" t="n">
        <v>170</v>
      </c>
      <c r="B180" s="12" t="n">
        <v>398</v>
      </c>
      <c r="C180" s="12" t="n">
        <v>293</v>
      </c>
      <c r="D180" s="5" t="n">
        <v>4.22</v>
      </c>
      <c r="E180" s="9">
        <f>D180+1.5</f>
        <v/>
      </c>
      <c r="F180" s="9">
        <f>D180-1.5</f>
        <v/>
      </c>
      <c r="G180" s="25" t="n">
        <v>5.24</v>
      </c>
      <c r="H180" s="6">
        <f>IF(OR(K180&gt;E180,K180&lt;F180),"FAIL","PASS")</f>
        <v/>
      </c>
      <c r="I180" s="7">
        <f>IF(G180&gt;300,G180-360-D180,G180-D180)</f>
        <v/>
      </c>
      <c r="J180" s="8">
        <f>IF(G180&gt;300,G180-360,0)</f>
        <v/>
      </c>
      <c r="K180" s="8">
        <f>IF(J180=0,G180,J180)</f>
        <v/>
      </c>
    </row>
    <row r="181" ht="15" customHeight="1">
      <c r="A181" s="12" t="n">
        <v>171</v>
      </c>
      <c r="B181" s="12" t="n">
        <v>401</v>
      </c>
      <c r="C181" s="12" t="n">
        <v>105</v>
      </c>
      <c r="D181" s="5" t="n">
        <v>3.74</v>
      </c>
      <c r="E181" s="9">
        <f>D181+1.5</f>
        <v/>
      </c>
      <c r="F181" s="9">
        <f>D181-1.5</f>
        <v/>
      </c>
      <c r="G181" s="25" t="n">
        <v>4.75</v>
      </c>
      <c r="H181" s="6">
        <f>IF(OR(K181&gt;E181,K181&lt;F181),"FAIL","PASS")</f>
        <v/>
      </c>
      <c r="I181" s="7">
        <f>IF(G181&gt;300,G181-360-D181,G181-D181)</f>
        <v/>
      </c>
      <c r="J181" s="8">
        <f>IF(G181&gt;300,G181-360,0)</f>
        <v/>
      </c>
      <c r="K181" s="8">
        <f>IF(J181=0,G181,J181)</f>
        <v/>
      </c>
    </row>
    <row r="182" ht="15" customHeight="1">
      <c r="A182" s="12" t="n">
        <v>172</v>
      </c>
      <c r="B182" s="12" t="n">
        <v>403</v>
      </c>
      <c r="C182" s="12" t="n">
        <v>276</v>
      </c>
      <c r="D182" s="5" t="n">
        <v>3.17</v>
      </c>
      <c r="E182" s="9">
        <f>D182+1.5</f>
        <v/>
      </c>
      <c r="F182" s="9">
        <f>D182-1.5</f>
        <v/>
      </c>
      <c r="G182" s="25" t="n">
        <v>4.19</v>
      </c>
      <c r="H182" s="6">
        <f>IF(OR(K182&gt;E182,K182&lt;F182),"FAIL","PASS")</f>
        <v/>
      </c>
      <c r="I182" s="7">
        <f>IF(G182&gt;300,G182-360-D182,G182-D182)</f>
        <v/>
      </c>
      <c r="J182" s="8">
        <f>IF(G182&gt;300,G182-360,0)</f>
        <v/>
      </c>
      <c r="K182" s="8">
        <f>IF(J182=0,G182,J182)</f>
        <v/>
      </c>
    </row>
    <row r="183" ht="15" customHeight="1">
      <c r="A183" s="12" t="n">
        <v>173</v>
      </c>
      <c r="B183" s="12" t="n">
        <v>406</v>
      </c>
      <c r="C183" s="12" t="n">
        <v>88</v>
      </c>
      <c r="D183" s="5" t="n">
        <v>2.61</v>
      </c>
      <c r="E183" s="9">
        <f>D183+1.5</f>
        <v/>
      </c>
      <c r="F183" s="9">
        <f>D183-1.5</f>
        <v/>
      </c>
      <c r="G183" s="25" t="n">
        <v>3.63</v>
      </c>
      <c r="H183" s="6">
        <f>IF(OR(K183&gt;E183,K183&lt;F183),"FAIL","PASS")</f>
        <v/>
      </c>
      <c r="I183" s="7">
        <f>IF(G183&gt;300,G183-360-D183,G183-D183)</f>
        <v/>
      </c>
      <c r="J183" s="8">
        <f>IF(G183&gt;300,G183-360,0)</f>
        <v/>
      </c>
      <c r="K183" s="8">
        <f>IF(J183=0,G183,J183)</f>
        <v/>
      </c>
    </row>
    <row r="184" ht="15" customHeight="1">
      <c r="A184" s="12" t="n">
        <v>174</v>
      </c>
      <c r="B184" s="12" t="n">
        <v>408</v>
      </c>
      <c r="C184" s="12" t="n">
        <v>260</v>
      </c>
      <c r="D184" s="5" t="n">
        <v>2.06</v>
      </c>
      <c r="E184" s="9">
        <f>D184+1.5</f>
        <v/>
      </c>
      <c r="F184" s="9">
        <f>D184-1.5</f>
        <v/>
      </c>
      <c r="G184" s="25" t="n">
        <v>3.11</v>
      </c>
      <c r="H184" s="6">
        <f>IF(OR(K184&gt;E184,K184&lt;F184),"FAIL","PASS")</f>
        <v/>
      </c>
      <c r="I184" s="7">
        <f>IF(G184&gt;300,G184-360-D184,G184-D184)</f>
        <v/>
      </c>
      <c r="J184" s="8">
        <f>IF(G184&gt;300,G184-360,0)</f>
        <v/>
      </c>
      <c r="K184" s="8">
        <f>IF(J184=0,G184,J184)</f>
        <v/>
      </c>
    </row>
    <row r="185" ht="15" customHeight="1">
      <c r="A185" s="12" t="n">
        <v>175</v>
      </c>
      <c r="B185" s="12" t="n">
        <v>411</v>
      </c>
      <c r="C185" s="12" t="n">
        <v>72</v>
      </c>
      <c r="D185" s="5" t="n">
        <v>1.59</v>
      </c>
      <c r="E185" s="9">
        <f>D185+1.5</f>
        <v/>
      </c>
      <c r="F185" s="9">
        <f>D185-1.5</f>
        <v/>
      </c>
      <c r="G185" s="25" t="n">
        <v>2.6</v>
      </c>
      <c r="H185" s="6">
        <f>IF(OR(K185&gt;E185,K185&lt;F185),"FAIL","PASS")</f>
        <v/>
      </c>
      <c r="I185" s="7">
        <f>IF(G185&gt;300,G185-360-D185,G185-D185)</f>
        <v/>
      </c>
      <c r="J185" s="8">
        <f>IF(G185&gt;300,G185-360,0)</f>
        <v/>
      </c>
      <c r="K185" s="8">
        <f>IF(J185=0,G185,J185)</f>
        <v/>
      </c>
    </row>
    <row r="186" ht="15" customHeight="1">
      <c r="A186" s="12" t="n">
        <v>176</v>
      </c>
      <c r="B186" s="12" t="n">
        <v>413</v>
      </c>
      <c r="C186" s="12" t="n">
        <v>243</v>
      </c>
      <c r="D186" s="5" t="n">
        <v>1.34</v>
      </c>
      <c r="E186" s="9">
        <f>D186+1.5</f>
        <v/>
      </c>
      <c r="F186" s="9">
        <f>D186-1.5</f>
        <v/>
      </c>
      <c r="G186" s="25" t="n">
        <v>2.49</v>
      </c>
      <c r="H186" s="6">
        <f>IF(OR(K186&gt;E186,K186&lt;F186),"FAIL","PASS")</f>
        <v/>
      </c>
      <c r="I186" s="7">
        <f>IF(G186&gt;300,G186-360-D186,G186-D186)</f>
        <v/>
      </c>
      <c r="J186" s="8">
        <f>IF(G186&gt;300,G186-360,0)</f>
        <v/>
      </c>
      <c r="K186" s="8">
        <f>IF(J186=0,G186,J186)</f>
        <v/>
      </c>
    </row>
    <row r="187" ht="15" customHeight="1">
      <c r="A187" s="12" t="n">
        <v>177</v>
      </c>
      <c r="B187" s="12" t="n">
        <v>416</v>
      </c>
      <c r="C187" s="12" t="n">
        <v>55</v>
      </c>
      <c r="D187" s="5" t="n">
        <v>0.46</v>
      </c>
      <c r="E187" s="9">
        <f>D187+1.5</f>
        <v/>
      </c>
      <c r="F187" s="9">
        <f>D187-1.5</f>
        <v/>
      </c>
      <c r="G187" s="25" t="n">
        <v>1.78</v>
      </c>
      <c r="H187" s="6">
        <f>IF(OR(K187&gt;E187,K187&lt;F187),"FAIL","PASS")</f>
        <v/>
      </c>
      <c r="I187" s="7">
        <f>IF(G187&gt;300,G187-360-D187,G187-D187)</f>
        <v/>
      </c>
      <c r="J187" s="8">
        <f>IF(G187&gt;300,G187-360,0)</f>
        <v/>
      </c>
      <c r="K187" s="8">
        <f>IF(J187=0,G187,J187)</f>
        <v/>
      </c>
    </row>
    <row r="188" ht="15" customHeight="1">
      <c r="A188" s="12" t="n">
        <v>178</v>
      </c>
      <c r="B188" s="12" t="n">
        <v>416</v>
      </c>
      <c r="C188" s="12" t="n">
        <v>216</v>
      </c>
      <c r="D188" s="5" t="n">
        <v>0</v>
      </c>
      <c r="E188" s="9">
        <f>D188+1.5</f>
        <v/>
      </c>
      <c r="F188" s="9">
        <f>D188-1.5</f>
        <v/>
      </c>
      <c r="G188" s="25" t="n">
        <v>0.63</v>
      </c>
      <c r="H188" s="6">
        <f>IF(OR(K188&gt;E188,K188&lt;F188),"FAIL","PASS")</f>
        <v/>
      </c>
      <c r="I188" s="7">
        <f>IF(G188&gt;300,G188-360-D188,G188-D188)</f>
        <v/>
      </c>
      <c r="J188" s="8">
        <f>IF(G188&gt;300,G188-360,0)</f>
        <v/>
      </c>
      <c r="K188" s="8">
        <f>IF(J188=0,G188,J188)</f>
        <v/>
      </c>
    </row>
    <row r="189" ht="15" customHeight="1">
      <c r="A189" s="12" t="n">
        <v>179</v>
      </c>
      <c r="B189" s="12" t="n">
        <v>418</v>
      </c>
      <c r="C189" s="12" t="n">
        <v>227</v>
      </c>
      <c r="D189" s="5" t="n">
        <v>-0.87</v>
      </c>
      <c r="E189" s="9">
        <f>D189+1.5</f>
        <v/>
      </c>
      <c r="F189" s="9">
        <f>D189-1.5</f>
        <v/>
      </c>
      <c r="G189" s="25" t="n">
        <v>0.61</v>
      </c>
      <c r="H189" s="6">
        <f>IF(OR(K189&gt;E189,K189&lt;F189),"FAIL","PASS")</f>
        <v/>
      </c>
      <c r="I189" s="7">
        <f>IF(G189&gt;300,G189-360-D189,G189-D189)</f>
        <v/>
      </c>
      <c r="J189" s="8">
        <f>IF(G189&gt;300,G189-360,0)</f>
        <v/>
      </c>
      <c r="K189" s="8">
        <f>IF(J189=0,G189,J189)</f>
        <v/>
      </c>
    </row>
    <row r="190" ht="15" customHeight="1">
      <c r="A190" s="12" t="n">
        <v>180</v>
      </c>
      <c r="B190" s="12" t="n">
        <v>421</v>
      </c>
      <c r="C190" s="12" t="n">
        <v>39</v>
      </c>
      <c r="D190" s="5" t="n">
        <v>-2.73</v>
      </c>
      <c r="E190" s="9">
        <f>D190+1.5</f>
        <v/>
      </c>
      <c r="F190" s="9">
        <f>D190-1.5</f>
        <v/>
      </c>
      <c r="G190" s="25" t="n">
        <v>358.97</v>
      </c>
      <c r="H190" s="6">
        <f>IF(OR(K190&gt;E190,K190&lt;F190),"FAIL","PASS")</f>
        <v/>
      </c>
      <c r="I190" s="7">
        <f>IF(G190&gt;300,G190-360-D190,G190-D190)</f>
        <v/>
      </c>
      <c r="J190" s="8">
        <f>IF(G190&gt;300,G190-360,0)</f>
        <v/>
      </c>
      <c r="K190" s="8">
        <f>IF(J190=0,G190,J190)</f>
        <v/>
      </c>
    </row>
    <row r="191" ht="15" customHeight="1">
      <c r="A191" s="12" t="n">
        <v>181</v>
      </c>
      <c r="B191" s="12" t="n">
        <v>423</v>
      </c>
      <c r="C191" s="12" t="n">
        <v>210</v>
      </c>
      <c r="D191" s="5" t="n">
        <v>-4.96</v>
      </c>
      <c r="E191" s="9">
        <f>D191+1.5</f>
        <v/>
      </c>
      <c r="F191" s="9">
        <f>D191-1.5</f>
        <v/>
      </c>
      <c r="G191" s="25" t="n">
        <v>356.31</v>
      </c>
      <c r="H191" s="6">
        <f>IF(OR(K191&gt;E191,K191&lt;F191),"FAIL","PASS")</f>
        <v/>
      </c>
      <c r="I191" s="7">
        <f>IF(G191&gt;300,G191-360-D191,G191-D191)</f>
        <v/>
      </c>
      <c r="J191" s="8">
        <f>IF(G191&gt;300,G191-360,0)</f>
        <v/>
      </c>
      <c r="K191" s="8">
        <f>IF(J191=0,G191,J191)</f>
        <v/>
      </c>
    </row>
    <row r="192" ht="15" customHeight="1">
      <c r="A192" s="12" t="n">
        <v>182</v>
      </c>
      <c r="B192" s="12" t="n">
        <v>425</v>
      </c>
      <c r="C192" s="12" t="n">
        <v>282</v>
      </c>
      <c r="D192" s="5" t="n">
        <v>-6</v>
      </c>
      <c r="E192" s="9">
        <f>D192+1.5</f>
        <v/>
      </c>
      <c r="F192" s="9">
        <f>D192-1.5</f>
        <v/>
      </c>
      <c r="G192" s="25" t="n">
        <v>354.69</v>
      </c>
      <c r="H192" s="6">
        <f>IF(OR(K192&gt;E192,K192&lt;F192),"FAIL","PASS")</f>
        <v/>
      </c>
      <c r="I192" s="7">
        <f>IF(G192&gt;300,G192-360-D192,G192-D192)</f>
        <v/>
      </c>
      <c r="J192" s="8">
        <f>IF(G192&gt;300,G192-360,0)</f>
        <v/>
      </c>
      <c r="K192" s="8">
        <f>IF(J192=0,G192,J192)</f>
        <v/>
      </c>
    </row>
    <row r="193" ht="15" customHeight="1">
      <c r="A193" s="12" t="n">
        <v>182</v>
      </c>
      <c r="B193" s="12" t="n">
        <v>425</v>
      </c>
      <c r="C193" s="12" t="n">
        <v>282</v>
      </c>
      <c r="D193" s="5" t="n">
        <v>-6</v>
      </c>
      <c r="E193" s="9">
        <f>D193+1.5</f>
        <v/>
      </c>
      <c r="F193" s="9">
        <f>D193-1.5</f>
        <v/>
      </c>
      <c r="G193" s="25" t="n">
        <v>354.69</v>
      </c>
      <c r="H193" s="6">
        <f>IF(OR(K193&gt;E193,K193&lt;F193),"FAIL","PASS")</f>
        <v/>
      </c>
      <c r="I193" s="7">
        <f>IF(G193&gt;300,G193-360-D193,G193-D193)</f>
        <v/>
      </c>
      <c r="J193" s="8">
        <f>IF(G193&gt;300,G193-360,0)</f>
        <v/>
      </c>
      <c r="K193" s="8">
        <f>IF(J193=0,G193,J193)</f>
        <v/>
      </c>
    </row>
    <row r="194" ht="15" customHeight="1">
      <c r="A194" s="12" t="n">
        <v>181</v>
      </c>
      <c r="B194" s="12" t="n">
        <v>423</v>
      </c>
      <c r="C194" s="12" t="n">
        <v>210</v>
      </c>
      <c r="D194" s="5" t="n">
        <v>-4.96</v>
      </c>
      <c r="E194" s="9">
        <f>D194+1.5</f>
        <v/>
      </c>
      <c r="F194" s="9">
        <f>D194-1.5</f>
        <v/>
      </c>
      <c r="G194" s="25" t="n">
        <v>356.18</v>
      </c>
      <c r="H194" s="6">
        <f>IF(OR(K194&gt;E194,K194&lt;F194),"FAIL","PASS")</f>
        <v/>
      </c>
      <c r="I194" s="7">
        <f>IF(G194&gt;300,G194-360-D194,G194-D194)</f>
        <v/>
      </c>
      <c r="J194" s="8">
        <f>IF(G194&gt;300,G194-360,0)</f>
        <v/>
      </c>
      <c r="K194" s="8">
        <f>IF(J194=0,G194,J194)</f>
        <v/>
      </c>
    </row>
    <row r="195" ht="15" customHeight="1">
      <c r="A195" s="12" t="n">
        <v>180</v>
      </c>
      <c r="B195" s="12" t="n">
        <v>421</v>
      </c>
      <c r="C195" s="12" t="n">
        <v>39</v>
      </c>
      <c r="D195" s="5" t="n">
        <v>-2.73</v>
      </c>
      <c r="E195" s="9">
        <f>D195+1.5</f>
        <v/>
      </c>
      <c r="F195" s="9">
        <f>D195-1.5</f>
        <v/>
      </c>
      <c r="G195" s="25" t="n">
        <v>358.85</v>
      </c>
      <c r="H195" s="6">
        <f>IF(OR(K195&gt;E195,K195&lt;F195),"FAIL","PASS")</f>
        <v/>
      </c>
      <c r="I195" s="7">
        <f>IF(G195&gt;300,G195-360-D195,G195-D195)</f>
        <v/>
      </c>
      <c r="J195" s="8">
        <f>IF(G195&gt;300,G195-360,0)</f>
        <v/>
      </c>
      <c r="K195" s="8">
        <f>IF(J195=0,G195,J195)</f>
        <v/>
      </c>
    </row>
    <row r="196" ht="15" customHeight="1">
      <c r="A196" s="12" t="n">
        <v>179</v>
      </c>
      <c r="B196" s="12" t="n">
        <v>418</v>
      </c>
      <c r="C196" s="12" t="n">
        <v>227</v>
      </c>
      <c r="D196" s="5" t="n">
        <v>-0.87</v>
      </c>
      <c r="E196" s="9">
        <f>D196+1.5</f>
        <v/>
      </c>
      <c r="F196" s="9">
        <f>D196-1.5</f>
        <v/>
      </c>
      <c r="G196" s="25" t="n">
        <v>0.52</v>
      </c>
      <c r="H196" s="6">
        <f>IF(OR(K196&gt;E196,K196&lt;F196),"FAIL","PASS")</f>
        <v/>
      </c>
      <c r="I196" s="7">
        <f>IF(G196&gt;300,G196-360-D196,G196-D196)</f>
        <v/>
      </c>
      <c r="J196" s="8">
        <f>IF(G196&gt;300,G196-360,0)</f>
        <v/>
      </c>
      <c r="K196" s="8">
        <f>IF(J196=0,G196,J196)</f>
        <v/>
      </c>
    </row>
    <row r="197" ht="15" customHeight="1">
      <c r="A197" s="12" t="n">
        <v>178</v>
      </c>
      <c r="B197" s="12" t="n">
        <v>416</v>
      </c>
      <c r="C197" s="12" t="n">
        <v>216</v>
      </c>
      <c r="D197" s="5" t="n">
        <v>0</v>
      </c>
      <c r="E197" s="9">
        <f>D197+1.5</f>
        <v/>
      </c>
      <c r="F197" s="9">
        <f>D197-1.5</f>
        <v/>
      </c>
      <c r="G197" s="25" t="n">
        <v>0.54</v>
      </c>
      <c r="H197" s="6">
        <f>IF(OR(K197&gt;E197,K197&lt;F197),"FAIL","PASS")</f>
        <v/>
      </c>
      <c r="I197" s="7">
        <f>IF(G197&gt;300,G197-360-D197,G197-D197)</f>
        <v/>
      </c>
      <c r="J197" s="8">
        <f>IF(G197&gt;300,G197-360,0)</f>
        <v/>
      </c>
      <c r="K197" s="8">
        <f>IF(J197=0,G197,J197)</f>
        <v/>
      </c>
    </row>
    <row r="198" ht="15" customHeight="1">
      <c r="A198" s="12" t="n">
        <v>177</v>
      </c>
      <c r="B198" s="12" t="n">
        <v>416</v>
      </c>
      <c r="C198" s="12" t="n">
        <v>55</v>
      </c>
      <c r="D198" s="5" t="n">
        <v>0.46</v>
      </c>
      <c r="E198" s="9">
        <f>D198+1.5</f>
        <v/>
      </c>
      <c r="F198" s="9">
        <f>D198-1.5</f>
        <v/>
      </c>
      <c r="G198" s="25" t="n">
        <v>1.69</v>
      </c>
      <c r="H198" s="6">
        <f>IF(OR(K198&gt;E198,K198&lt;F198),"FAIL","PASS")</f>
        <v/>
      </c>
      <c r="I198" s="7">
        <f>IF(G198&gt;300,G198-360-D198,G198-D198)</f>
        <v/>
      </c>
      <c r="J198" s="8">
        <f>IF(G198&gt;300,G198-360,0)</f>
        <v/>
      </c>
      <c r="K198" s="8">
        <f>IF(J198=0,G198,J198)</f>
        <v/>
      </c>
    </row>
    <row r="199" ht="15" customHeight="1">
      <c r="A199" s="12" t="n">
        <v>176</v>
      </c>
      <c r="B199" s="12" t="n">
        <v>413</v>
      </c>
      <c r="C199" s="12" t="n">
        <v>243</v>
      </c>
      <c r="D199" s="5" t="n">
        <v>1.34</v>
      </c>
      <c r="E199" s="9">
        <f>D199+1.5</f>
        <v/>
      </c>
      <c r="F199" s="9">
        <f>D199-1.5</f>
        <v/>
      </c>
      <c r="G199" s="25" t="n">
        <v>2.4</v>
      </c>
      <c r="H199" s="6">
        <f>IF(OR(K199&gt;E199,K199&lt;F199),"FAIL","PASS")</f>
        <v/>
      </c>
      <c r="I199" s="7">
        <f>IF(G199&gt;300,G199-360-D199,G199-D199)</f>
        <v/>
      </c>
      <c r="J199" s="8">
        <f>IF(G199&gt;300,G199-360,0)</f>
        <v/>
      </c>
      <c r="K199" s="8">
        <f>IF(J199=0,G199,J199)</f>
        <v/>
      </c>
    </row>
    <row r="200" ht="15" customHeight="1">
      <c r="A200" s="12" t="n">
        <v>175</v>
      </c>
      <c r="B200" s="12" t="n">
        <v>411</v>
      </c>
      <c r="C200" s="12" t="n">
        <v>72</v>
      </c>
      <c r="D200" s="5" t="n">
        <v>1.59</v>
      </c>
      <c r="E200" s="9">
        <f>D200+1.5</f>
        <v/>
      </c>
      <c r="F200" s="9">
        <f>D200-1.5</f>
        <v/>
      </c>
      <c r="G200" s="25" t="n">
        <v>2.51</v>
      </c>
      <c r="H200" s="6">
        <f>IF(OR(K200&gt;E200,K200&lt;F200),"FAIL","PASS")</f>
        <v/>
      </c>
      <c r="I200" s="7">
        <f>IF(G200&gt;300,G200-360-D200,G200-D200)</f>
        <v/>
      </c>
      <c r="J200" s="8">
        <f>IF(G200&gt;300,G200-360,0)</f>
        <v/>
      </c>
      <c r="K200" s="8">
        <f>IF(J200=0,G200,J200)</f>
        <v/>
      </c>
    </row>
    <row r="201" ht="15" customHeight="1">
      <c r="A201" s="12" t="n">
        <v>174</v>
      </c>
      <c r="B201" s="12" t="n">
        <v>408</v>
      </c>
      <c r="C201" s="12" t="n">
        <v>260</v>
      </c>
      <c r="D201" s="5" t="n">
        <v>2.06</v>
      </c>
      <c r="E201" s="9">
        <f>D201+1.5</f>
        <v/>
      </c>
      <c r="F201" s="9">
        <f>D201-1.5</f>
        <v/>
      </c>
      <c r="G201" s="25" t="n">
        <v>3.01</v>
      </c>
      <c r="H201" s="6">
        <f>IF(OR(K201&gt;E201,K201&lt;F201),"FAIL","PASS")</f>
        <v/>
      </c>
      <c r="I201" s="7">
        <f>IF(G201&gt;300,G201-360-D201,G201-D201)</f>
        <v/>
      </c>
      <c r="J201" s="8">
        <f>IF(G201&gt;300,G201-360,0)</f>
        <v/>
      </c>
      <c r="K201" s="8">
        <f>IF(J201=0,G201,J201)</f>
        <v/>
      </c>
    </row>
    <row r="202" ht="15" customHeight="1">
      <c r="A202" s="12" t="n">
        <v>173</v>
      </c>
      <c r="B202" s="12" t="n">
        <v>406</v>
      </c>
      <c r="C202" s="12" t="n">
        <v>88</v>
      </c>
      <c r="D202" s="5" t="n">
        <v>2.61</v>
      </c>
      <c r="E202" s="9">
        <f>D202+1.5</f>
        <v/>
      </c>
      <c r="F202" s="9">
        <f>D202-1.5</f>
        <v/>
      </c>
      <c r="G202" s="25" t="n">
        <v>3.53</v>
      </c>
      <c r="H202" s="6">
        <f>IF(OR(K202&gt;E202,K202&lt;F202),"FAIL","PASS")</f>
        <v/>
      </c>
      <c r="I202" s="7">
        <f>IF(G202&gt;300,G202-360-D202,G202-D202)</f>
        <v/>
      </c>
      <c r="J202" s="8">
        <f>IF(G202&gt;300,G202-360,0)</f>
        <v/>
      </c>
      <c r="K202" s="8">
        <f>IF(J202=0,G202,J202)</f>
        <v/>
      </c>
    </row>
    <row r="203" ht="15" customHeight="1">
      <c r="A203" s="12" t="n">
        <v>172</v>
      </c>
      <c r="B203" s="12" t="n">
        <v>403</v>
      </c>
      <c r="C203" s="12" t="n">
        <v>276</v>
      </c>
      <c r="D203" s="5" t="n">
        <v>3.17</v>
      </c>
      <c r="E203" s="9">
        <f>D203+1.5</f>
        <v/>
      </c>
      <c r="F203" s="9">
        <f>D203-1.5</f>
        <v/>
      </c>
      <c r="G203" s="25" t="n">
        <v>4.07</v>
      </c>
      <c r="H203" s="6">
        <f>IF(OR(K203&gt;E203,K203&lt;F203),"FAIL","PASS")</f>
        <v/>
      </c>
      <c r="I203" s="7">
        <f>IF(G203&gt;300,G203-360-D203,G203-D203)</f>
        <v/>
      </c>
      <c r="J203" s="8">
        <f>IF(G203&gt;300,G203-360,0)</f>
        <v/>
      </c>
      <c r="K203" s="8">
        <f>IF(J203=0,G203,J203)</f>
        <v/>
      </c>
    </row>
    <row r="204" ht="15" customHeight="1">
      <c r="A204" s="12" t="n">
        <v>171</v>
      </c>
      <c r="B204" s="12" t="n">
        <v>401</v>
      </c>
      <c r="C204" s="12" t="n">
        <v>105</v>
      </c>
      <c r="D204" s="5" t="n">
        <v>3.74</v>
      </c>
      <c r="E204" s="9">
        <f>D204+1.5</f>
        <v/>
      </c>
      <c r="F204" s="9">
        <f>D204-1.5</f>
        <v/>
      </c>
      <c r="G204" s="25" t="n">
        <v>4.63</v>
      </c>
      <c r="H204" s="6">
        <f>IF(OR(K204&gt;E204,K204&lt;F204),"FAIL","PASS")</f>
        <v/>
      </c>
      <c r="I204" s="7">
        <f>IF(G204&gt;300,G204-360-D204,G204-D204)</f>
        <v/>
      </c>
      <c r="J204" s="8">
        <f>IF(G204&gt;300,G204-360,0)</f>
        <v/>
      </c>
      <c r="K204" s="8">
        <f>IF(J204=0,G204,J204)</f>
        <v/>
      </c>
    </row>
    <row r="205" ht="15" customHeight="1">
      <c r="A205" s="12" t="n">
        <v>170</v>
      </c>
      <c r="B205" s="12" t="n">
        <v>398</v>
      </c>
      <c r="C205" s="12" t="n">
        <v>293</v>
      </c>
      <c r="D205" s="5" t="n">
        <v>4.22</v>
      </c>
      <c r="E205" s="9">
        <f>D205+1.5</f>
        <v/>
      </c>
      <c r="F205" s="9">
        <f>D205-1.5</f>
        <v/>
      </c>
      <c r="G205" s="25" t="n">
        <v>5.11</v>
      </c>
      <c r="H205" s="6">
        <f>IF(OR(K205&gt;E205,K205&lt;F205),"FAIL","PASS")</f>
        <v/>
      </c>
      <c r="I205" s="7">
        <f>IF(G205&gt;300,G205-360-D205,G205-D205)</f>
        <v/>
      </c>
      <c r="J205" s="8">
        <f>IF(G205&gt;300,G205-360,0)</f>
        <v/>
      </c>
      <c r="K205" s="8">
        <f>IF(J205=0,G205,J205)</f>
        <v/>
      </c>
    </row>
    <row r="206" ht="15" customHeight="1">
      <c r="A206" s="12" t="n">
        <v>169</v>
      </c>
      <c r="B206" s="12" t="n">
        <v>396</v>
      </c>
      <c r="C206" s="12" t="n">
        <v>121</v>
      </c>
      <c r="D206" s="5" t="n">
        <v>4.84</v>
      </c>
      <c r="E206" s="9">
        <f>D206+1.5</f>
        <v/>
      </c>
      <c r="F206" s="9">
        <f>D206-1.5</f>
        <v/>
      </c>
      <c r="G206" s="25" t="n">
        <v>5.74</v>
      </c>
      <c r="H206" s="6">
        <f>IF(OR(K206&gt;E206,K206&lt;F206),"FAIL","PASS")</f>
        <v/>
      </c>
      <c r="I206" s="7">
        <f>IF(G206&gt;300,G206-360-D206,G206-D206)</f>
        <v/>
      </c>
      <c r="J206" s="8">
        <f>IF(G206&gt;300,G206-360,0)</f>
        <v/>
      </c>
      <c r="K206" s="8">
        <f>IF(J206=0,G206,J206)</f>
        <v/>
      </c>
    </row>
    <row r="207" ht="15" customHeight="1">
      <c r="A207" s="12" t="n">
        <v>168</v>
      </c>
      <c r="B207" s="12" t="n">
        <v>393</v>
      </c>
      <c r="C207" s="12" t="n">
        <v>309</v>
      </c>
      <c r="D207" s="5" t="n">
        <v>5.52</v>
      </c>
      <c r="E207" s="9">
        <f>D207+1.5</f>
        <v/>
      </c>
      <c r="F207" s="9">
        <f>D207-1.5</f>
        <v/>
      </c>
      <c r="G207" s="25" t="n">
        <v>6.42</v>
      </c>
      <c r="H207" s="6">
        <f>IF(OR(K207&gt;E207,K207&lt;F207),"FAIL","PASS")</f>
        <v/>
      </c>
      <c r="I207" s="7">
        <f>IF(G207&gt;300,G207-360-D207,G207-D207)</f>
        <v/>
      </c>
      <c r="J207" s="8">
        <f>IF(G207&gt;300,G207-360,0)</f>
        <v/>
      </c>
      <c r="K207" s="8">
        <f>IF(J207=0,G207,J207)</f>
        <v/>
      </c>
    </row>
    <row r="208" ht="15" customHeight="1">
      <c r="A208" s="12" t="n">
        <v>167</v>
      </c>
      <c r="B208" s="12" t="n">
        <v>391</v>
      </c>
      <c r="C208" s="12" t="n">
        <v>137</v>
      </c>
      <c r="D208" s="5" t="n">
        <v>6.23</v>
      </c>
      <c r="E208" s="9">
        <f>D208+1.5</f>
        <v/>
      </c>
      <c r="F208" s="9">
        <f>D208-1.5</f>
        <v/>
      </c>
      <c r="G208" s="25" t="n">
        <v>7.08</v>
      </c>
      <c r="H208" s="6">
        <f>IF(OR(K208&gt;E208,K208&lt;F208),"FAIL","PASS")</f>
        <v/>
      </c>
      <c r="I208" s="7">
        <f>IF(G208&gt;300,G208-360-D208,G208-D208)</f>
        <v/>
      </c>
      <c r="J208" s="8">
        <f>IF(G208&gt;300,G208-360,0)</f>
        <v/>
      </c>
      <c r="K208" s="8">
        <f>IF(J208=0,G208,J208)</f>
        <v/>
      </c>
    </row>
    <row r="209" ht="15" customHeight="1">
      <c r="A209" s="12" t="n">
        <v>166</v>
      </c>
      <c r="B209" s="12" t="n">
        <v>388</v>
      </c>
      <c r="C209" s="12" t="n">
        <v>326</v>
      </c>
      <c r="D209" s="5" t="n">
        <v>6.88</v>
      </c>
      <c r="E209" s="9">
        <f>D209+1.5</f>
        <v/>
      </c>
      <c r="F209" s="9">
        <f>D209-1.5</f>
        <v/>
      </c>
      <c r="G209" s="25" t="n">
        <v>7.71</v>
      </c>
      <c r="H209" s="6">
        <f>IF(OR(K209&gt;E209,K209&lt;F209),"FAIL","PASS")</f>
        <v/>
      </c>
      <c r="I209" s="7">
        <f>IF(G209&gt;300,G209-360-D209,G209-D209)</f>
        <v/>
      </c>
      <c r="J209" s="8">
        <f>IF(G209&gt;300,G209-360,0)</f>
        <v/>
      </c>
      <c r="K209" s="8">
        <f>IF(J209=0,G209,J209)</f>
        <v/>
      </c>
    </row>
    <row r="210" ht="15" customHeight="1">
      <c r="A210" s="12" t="n">
        <v>165</v>
      </c>
      <c r="B210" s="12" t="n">
        <v>386</v>
      </c>
      <c r="C210" s="12" t="n">
        <v>154</v>
      </c>
      <c r="D210" s="5" t="n">
        <v>7.52</v>
      </c>
      <c r="E210" s="9">
        <f>D210+1.5</f>
        <v/>
      </c>
      <c r="F210" s="9">
        <f>D210-1.5</f>
        <v/>
      </c>
      <c r="G210" s="25" t="n">
        <v>8.390000000000001</v>
      </c>
      <c r="H210" s="6">
        <f>IF(OR(K210&gt;E210,K210&lt;F210),"FAIL","PASS")</f>
        <v/>
      </c>
      <c r="I210" s="7">
        <f>IF(G210&gt;300,G210-360-D210,G210-D210)</f>
        <v/>
      </c>
      <c r="J210" s="8">
        <f>IF(G210&gt;300,G210-360,0)</f>
        <v/>
      </c>
      <c r="K210" s="8">
        <f>IF(J210=0,G210,J210)</f>
        <v/>
      </c>
    </row>
    <row r="211" ht="15" customHeight="1">
      <c r="A211" s="12" t="n">
        <v>164</v>
      </c>
      <c r="B211" s="12" t="n">
        <v>383</v>
      </c>
      <c r="C211" s="12" t="n">
        <v>342</v>
      </c>
      <c r="D211" s="5" t="n">
        <v>8.17</v>
      </c>
      <c r="E211" s="9">
        <f>D211+1.5</f>
        <v/>
      </c>
      <c r="F211" s="9">
        <f>D211-1.5</f>
        <v/>
      </c>
      <c r="G211" s="25" t="n">
        <v>9.01</v>
      </c>
      <c r="H211" s="6">
        <f>IF(OR(K211&gt;E211,K211&lt;F211),"FAIL","PASS")</f>
        <v/>
      </c>
      <c r="I211" s="7">
        <f>IF(G211&gt;300,G211-360-D211,G211-D211)</f>
        <v/>
      </c>
      <c r="J211" s="8">
        <f>IF(G211&gt;300,G211-360,0)</f>
        <v/>
      </c>
      <c r="K211" s="8">
        <f>IF(J211=0,G211,J211)</f>
        <v/>
      </c>
    </row>
    <row r="212" ht="15" customHeight="1">
      <c r="A212" s="12" t="n">
        <v>163</v>
      </c>
      <c r="B212" s="12" t="n">
        <v>381</v>
      </c>
      <c r="C212" s="12" t="n">
        <v>170</v>
      </c>
      <c r="D212" s="5" t="n">
        <v>8.779999999999999</v>
      </c>
      <c r="E212" s="9">
        <f>D212+1.5</f>
        <v/>
      </c>
      <c r="F212" s="9">
        <f>D212-1.5</f>
        <v/>
      </c>
      <c r="G212" s="25" t="n">
        <v>9.65</v>
      </c>
      <c r="H212" s="6">
        <f>IF(OR(K212&gt;E212,K212&lt;F212),"FAIL","PASS")</f>
        <v/>
      </c>
      <c r="I212" s="7">
        <f>IF(G212&gt;300,G212-360-D212,G212-D212)</f>
        <v/>
      </c>
      <c r="J212" s="8">
        <f>IF(G212&gt;300,G212-360,0)</f>
        <v/>
      </c>
      <c r="K212" s="8">
        <f>IF(J212=0,G212,J212)</f>
        <v/>
      </c>
    </row>
    <row r="213" ht="13.5" customHeight="1">
      <c r="A213" s="12" t="n">
        <v>162</v>
      </c>
      <c r="B213" s="11" t="inlineStr">
        <is>
          <t xml:space="preserve"> 378
</t>
        </is>
      </c>
      <c r="C213" s="12" t="n">
        <v>359</v>
      </c>
      <c r="D213" s="5" t="n">
        <v>9.43</v>
      </c>
      <c r="E213" s="9">
        <f>D213+1.5</f>
        <v/>
      </c>
      <c r="F213" s="9">
        <f>D213-1.5</f>
        <v/>
      </c>
      <c r="G213" s="25" t="n">
        <v>10.25</v>
      </c>
      <c r="H213" s="6">
        <f>IF(OR(K213&gt;E213,K213&lt;F213),"FAIL","PASS")</f>
        <v/>
      </c>
      <c r="I213" s="7">
        <f>IF(G213&gt;300,G213-360-D213,G213-D213)</f>
        <v/>
      </c>
      <c r="J213" s="8">
        <f>IF(G213&gt;300,G213-360,0)</f>
        <v/>
      </c>
      <c r="K213" s="8">
        <f>IF(J213=0,G213,J213)</f>
        <v/>
      </c>
    </row>
    <row r="214" ht="15" customHeight="1">
      <c r="A214" s="12" t="n">
        <v>161</v>
      </c>
      <c r="B214" s="12" t="n">
        <v>376</v>
      </c>
      <c r="C214" s="12" t="n">
        <v>187</v>
      </c>
      <c r="D214" s="5" t="n">
        <v>10.07</v>
      </c>
      <c r="E214" s="9">
        <f>D214+1.5</f>
        <v/>
      </c>
      <c r="F214" s="9">
        <f>D214-1.5</f>
        <v/>
      </c>
      <c r="G214" s="25" t="n">
        <v>10.88</v>
      </c>
      <c r="H214" s="6">
        <f>IF(OR(K214&gt;E214,K214&lt;F214),"FAIL","PASS")</f>
        <v/>
      </c>
      <c r="I214" s="7">
        <f>IF(G214&gt;300,G214-360-D214,G214-D214)</f>
        <v/>
      </c>
      <c r="J214" s="8">
        <f>IF(G214&gt;300,G214-360,0)</f>
        <v/>
      </c>
      <c r="K214" s="8">
        <f>IF(J214=0,G214,J214)</f>
        <v/>
      </c>
    </row>
    <row r="215" ht="16.5" customHeight="1">
      <c r="A215" s="12" t="n">
        <v>160</v>
      </c>
      <c r="B215" s="11" t="n">
        <v>374</v>
      </c>
      <c r="C215" s="12" t="n">
        <v>15</v>
      </c>
      <c r="D215" s="5" t="n">
        <v>10.75</v>
      </c>
      <c r="E215" s="9">
        <f>D215+1.5</f>
        <v/>
      </c>
      <c r="F215" s="9">
        <f>D215-1.5</f>
        <v/>
      </c>
      <c r="G215" s="25" t="n">
        <v>11.48</v>
      </c>
      <c r="H215" s="6">
        <f>IF(OR(K215&gt;E215,K215&lt;F215),"FAIL","PASS")</f>
        <v/>
      </c>
      <c r="I215" s="7">
        <f>IF(G215&gt;300,G215-360-D215,G215-D215)</f>
        <v/>
      </c>
      <c r="J215" s="8">
        <f>IF(G215&gt;300,G215-360,0)</f>
        <v/>
      </c>
      <c r="K215" s="8">
        <f>IF(J215=0,G215,J215)</f>
        <v/>
      </c>
    </row>
    <row r="216" ht="12.75" customHeight="1">
      <c r="A216" s="11" t="inlineStr">
        <is>
          <t xml:space="preserve">159
</t>
        </is>
      </c>
      <c r="B216" s="11" t="n">
        <v>371</v>
      </c>
      <c r="C216" s="12" t="n">
        <v>203</v>
      </c>
      <c r="D216" s="5" t="n">
        <v>11.56</v>
      </c>
      <c r="E216" s="9">
        <f>D216+1.5</f>
        <v/>
      </c>
      <c r="F216" s="9">
        <f>D216-1.5</f>
        <v/>
      </c>
      <c r="G216" s="25" t="n">
        <v>12.16</v>
      </c>
      <c r="H216" s="6">
        <f>IF(OR(K216&gt;E216,K216&lt;F216),"FAIL","PASS")</f>
        <v/>
      </c>
      <c r="I216" s="7">
        <f>IF(G216&gt;300,G216-360-D216,G216-D216)</f>
        <v/>
      </c>
      <c r="J216" s="8">
        <f>IF(G216&gt;300,G216-360,0)</f>
        <v/>
      </c>
      <c r="K216" s="8">
        <f>IF(J216=0,G216,J216)</f>
        <v/>
      </c>
    </row>
    <row r="217" ht="15" customHeight="1">
      <c r="A217" s="12" t="n">
        <v>158</v>
      </c>
      <c r="B217" s="12" t="n">
        <v>369</v>
      </c>
      <c r="C217" s="12" t="n">
        <v>32</v>
      </c>
      <c r="D217" s="5" t="n">
        <v>12.6</v>
      </c>
      <c r="E217" s="9">
        <f>D217+1.5</f>
        <v/>
      </c>
      <c r="F217" s="9">
        <f>D217-1.5</f>
        <v/>
      </c>
      <c r="G217" s="25" t="n">
        <v>12.8</v>
      </c>
      <c r="H217" s="6">
        <f>IF(OR(K217&gt;E217,K217&lt;F217),"FAIL","PASS")</f>
        <v/>
      </c>
      <c r="I217" s="7">
        <f>IF(G217&gt;300,G217-360-D217,G217-D217)</f>
        <v/>
      </c>
      <c r="J217" s="8">
        <f>IF(G217&gt;300,G217-360,0)</f>
        <v/>
      </c>
      <c r="K217" s="8">
        <f>IF(J217=0,G217,J217)</f>
        <v/>
      </c>
    </row>
    <row r="218" ht="13.5" customHeight="1">
      <c r="A218" s="12" t="n">
        <v>157</v>
      </c>
      <c r="B218" s="12" t="n">
        <v>366</v>
      </c>
      <c r="C218" s="12" t="n">
        <v>220</v>
      </c>
      <c r="D218" s="5" t="n">
        <v>13.31</v>
      </c>
      <c r="E218" s="9">
        <f>D218+1.5</f>
        <v/>
      </c>
      <c r="F218" s="9">
        <f>D218-1.5</f>
        <v/>
      </c>
      <c r="G218" s="25" t="n">
        <v>13.51</v>
      </c>
      <c r="H218" s="6">
        <f>IF(OR(K218&gt;E218,K218&lt;F218),"FAIL","PASS")</f>
        <v/>
      </c>
      <c r="I218" s="7">
        <f>IF(G218&gt;300,G218-360-D218,G218-D218)</f>
        <v/>
      </c>
      <c r="J218" s="8">
        <f>IF(G218&gt;300,G218-360,0)</f>
        <v/>
      </c>
      <c r="K218" s="8">
        <f>IF(J218=0,G218,J218)</f>
        <v/>
      </c>
    </row>
    <row r="219" ht="15" customHeight="1">
      <c r="A219" s="12" t="n">
        <v>156</v>
      </c>
      <c r="B219" s="12" t="n">
        <v>364</v>
      </c>
      <c r="C219" s="12" t="n">
        <v>48</v>
      </c>
      <c r="D219" s="5" t="n">
        <v>13.97</v>
      </c>
      <c r="E219" s="9">
        <f>D219+1.5</f>
        <v/>
      </c>
      <c r="F219" s="9">
        <f>D219-1.5</f>
        <v/>
      </c>
      <c r="G219" s="25" t="n">
        <v>14.16</v>
      </c>
      <c r="H219" s="6">
        <f>IF(OR(K219&gt;E219,K219&lt;F219),"FAIL","PASS")</f>
        <v/>
      </c>
      <c r="I219" s="7">
        <f>IF(G219&gt;300,G219-360-D219,G219-D219)</f>
        <v/>
      </c>
      <c r="J219" s="8">
        <f>IF(G219&gt;300,G219-360,0)</f>
        <v/>
      </c>
      <c r="K219" s="8">
        <f>IF(J219=0,G219,J219)</f>
        <v/>
      </c>
    </row>
    <row r="220" ht="15" customHeight="1">
      <c r="A220" s="12" t="n">
        <v>155</v>
      </c>
      <c r="B220" s="12" t="n">
        <v>361</v>
      </c>
      <c r="C220" s="12" t="n">
        <v>236</v>
      </c>
      <c r="D220" s="5" t="n">
        <v>14.64</v>
      </c>
      <c r="E220" s="9">
        <f>D220+1.5</f>
        <v/>
      </c>
      <c r="F220" s="9">
        <f>D220-1.5</f>
        <v/>
      </c>
      <c r="G220" s="25" t="n">
        <v>14.86</v>
      </c>
      <c r="H220" s="6">
        <f>IF(OR(K220&gt;E220,K220&lt;F220),"FAIL","PASS")</f>
        <v/>
      </c>
      <c r="I220" s="7">
        <f>IF(G220&gt;300,G220-360-D220,G220-D220)</f>
        <v/>
      </c>
      <c r="J220" s="8">
        <f>IF(G220&gt;300,G220-360,0)</f>
        <v/>
      </c>
      <c r="K220" s="8">
        <f>IF(J220=0,G220,J220)</f>
        <v/>
      </c>
    </row>
    <row r="221" ht="15" customHeight="1">
      <c r="A221" s="12" t="n">
        <v>154</v>
      </c>
      <c r="B221" s="12" t="n">
        <v>359</v>
      </c>
      <c r="C221" s="12" t="n">
        <v>65</v>
      </c>
      <c r="D221" s="16" t="n">
        <v>15.31</v>
      </c>
      <c r="E221" s="9">
        <f>D221+1.5</f>
        <v/>
      </c>
      <c r="F221" s="9">
        <f>D221-1.5</f>
        <v/>
      </c>
      <c r="G221" s="25" t="n">
        <v>15.51</v>
      </c>
      <c r="H221" s="6">
        <f>IF(OR(K221&gt;E221,K221&lt;F221),"FAIL","PASS")</f>
        <v/>
      </c>
      <c r="I221" s="7">
        <f>IF(G221&gt;300,G221-360-D221,G221-D221)</f>
        <v/>
      </c>
      <c r="J221" s="8">
        <f>IF(G221&gt;300,G221-360,0)</f>
        <v/>
      </c>
      <c r="K221" s="8">
        <f>IF(J221=0,G221,J221)</f>
        <v/>
      </c>
    </row>
    <row r="222" ht="15" customHeight="1">
      <c r="A222" s="12" t="n">
        <v>153</v>
      </c>
      <c r="B222" s="12" t="n">
        <v>356</v>
      </c>
      <c r="C222" s="12" t="n">
        <v>253</v>
      </c>
      <c r="D222" s="5" t="n">
        <v>15.98</v>
      </c>
      <c r="E222" s="9">
        <f>D222+1.5</f>
        <v/>
      </c>
      <c r="F222" s="9">
        <f>D222-1.5</f>
        <v/>
      </c>
      <c r="G222" s="25" t="n">
        <v>16.21</v>
      </c>
      <c r="H222" s="6">
        <f>IF(OR(K222&gt;E222,K222&lt;F222),"FAIL","PASS")</f>
        <v/>
      </c>
      <c r="I222" s="7">
        <f>IF(G222&gt;300,G222-360-D222,G222-D222)</f>
        <v/>
      </c>
      <c r="J222" s="8">
        <f>IF(G222&gt;300,G222-360,0)</f>
        <v/>
      </c>
      <c r="K222" s="8">
        <f>IF(J222=0,G222,J222)</f>
        <v/>
      </c>
    </row>
    <row r="223" ht="15" customHeight="1">
      <c r="A223" s="12" t="n">
        <v>152</v>
      </c>
      <c r="B223" s="12" t="n">
        <v>354</v>
      </c>
      <c r="C223" s="12" t="n">
        <v>81</v>
      </c>
      <c r="D223" s="5" t="n">
        <v>16.68</v>
      </c>
      <c r="E223" s="9">
        <f>D223+1.5</f>
        <v/>
      </c>
      <c r="F223" s="9">
        <f>D223-1.5</f>
        <v/>
      </c>
      <c r="G223" s="25" t="n">
        <v>16.83</v>
      </c>
      <c r="H223" s="6">
        <f>IF(OR(K223&gt;E223,K223&lt;F223),"FAIL","PASS")</f>
        <v/>
      </c>
      <c r="I223" s="7">
        <f>IF(G223&gt;300,G223-360-D223,G223-D223)</f>
        <v/>
      </c>
      <c r="J223" s="8">
        <f>IF(G223&gt;300,G223-360,0)</f>
        <v/>
      </c>
      <c r="K223" s="8">
        <f>IF(J223=0,G223,J223)</f>
        <v/>
      </c>
    </row>
    <row r="224" ht="15" customHeight="1">
      <c r="A224" s="12" t="n">
        <v>151</v>
      </c>
      <c r="B224" s="12" t="n">
        <v>351</v>
      </c>
      <c r="C224" s="12" t="n">
        <v>269</v>
      </c>
      <c r="D224" s="5" t="n">
        <v>17.36</v>
      </c>
      <c r="E224" s="9">
        <f>D224+1.5</f>
        <v/>
      </c>
      <c r="F224" s="9">
        <f>D224-1.5</f>
        <v/>
      </c>
      <c r="G224" s="25" t="n">
        <v>17.51</v>
      </c>
      <c r="H224" s="6">
        <f>IF(OR(K224&gt;E224,K224&lt;F224),"FAIL","PASS")</f>
        <v/>
      </c>
      <c r="I224" s="7">
        <f>IF(G224&gt;300,G224-360-D224,G224-D224)</f>
        <v/>
      </c>
      <c r="J224" s="8">
        <f>IF(G224&gt;300,G224-360,0)</f>
        <v/>
      </c>
      <c r="K224" s="8">
        <f>IF(J224=0,G224,J224)</f>
        <v/>
      </c>
    </row>
    <row r="225" ht="15" customHeight="1">
      <c r="A225" s="12" t="n">
        <v>150</v>
      </c>
      <c r="B225" s="12" t="n">
        <v>349</v>
      </c>
      <c r="C225" s="12" t="n">
        <v>98</v>
      </c>
      <c r="D225" s="5" t="n">
        <v>18</v>
      </c>
      <c r="E225" s="9">
        <f>D225+1.5</f>
        <v/>
      </c>
      <c r="F225" s="9">
        <f>D225-1.5</f>
        <v/>
      </c>
      <c r="G225" s="25" t="n">
        <v>18.15</v>
      </c>
      <c r="H225" s="6">
        <f>IF(OR(K225&gt;E225,K225&lt;F225),"FAIL","PASS")</f>
        <v/>
      </c>
      <c r="I225" s="7">
        <f>IF(G225&gt;300,G225-360-D225,G225-D225)</f>
        <v/>
      </c>
      <c r="J225" s="8">
        <f>IF(G225&gt;300,G225-360,0)</f>
        <v/>
      </c>
      <c r="K225" s="8">
        <f>IF(J225=0,G225,J225)</f>
        <v/>
      </c>
    </row>
    <row r="226" ht="15" customHeight="1">
      <c r="A226" s="12" t="n">
        <v>149</v>
      </c>
      <c r="B226" s="12" t="n">
        <v>346</v>
      </c>
      <c r="C226" s="12" t="n">
        <v>286</v>
      </c>
      <c r="D226" s="5" t="n">
        <v>18.65</v>
      </c>
      <c r="E226" s="9">
        <f>D226+1.5</f>
        <v/>
      </c>
      <c r="F226" s="9">
        <f>D226-1.5</f>
        <v/>
      </c>
      <c r="G226" s="25" t="n">
        <v>18.81</v>
      </c>
      <c r="H226" s="6">
        <f>IF(OR(K226&gt;E226,K226&lt;F226),"FAIL","PASS")</f>
        <v/>
      </c>
      <c r="I226" s="7">
        <f>IF(G226&gt;300,G226-360-D226,G226-D226)</f>
        <v/>
      </c>
      <c r="J226" s="8">
        <f>IF(G226&gt;300,G226-360,0)</f>
        <v/>
      </c>
      <c r="K226" s="8">
        <f>IF(J226=0,G226,J226)</f>
        <v/>
      </c>
    </row>
    <row r="227" ht="15" customHeight="1">
      <c r="A227" s="12" t="n">
        <v>148</v>
      </c>
      <c r="B227" s="12" t="n">
        <v>344</v>
      </c>
      <c r="C227" s="12" t="n">
        <v>114</v>
      </c>
      <c r="D227" s="5" t="n">
        <v>19.32</v>
      </c>
      <c r="E227" s="9">
        <f>D227+1.5</f>
        <v/>
      </c>
      <c r="F227" s="9">
        <f>D227-1.5</f>
        <v/>
      </c>
      <c r="G227" s="25" t="n">
        <v>19.42</v>
      </c>
      <c r="H227" s="6">
        <f>IF(OR(K227&gt;E227,K227&lt;F227),"FAIL","PASS")</f>
        <v/>
      </c>
      <c r="I227" s="7">
        <f>IF(G227&gt;300,G227-360-D227,G227-D227)</f>
        <v/>
      </c>
      <c r="J227" s="8">
        <f>IF(G227&gt;300,G227-360,0)</f>
        <v/>
      </c>
      <c r="K227" s="8">
        <f>IF(J227=0,G227,J227)</f>
        <v/>
      </c>
    </row>
    <row r="228" ht="15" customHeight="1">
      <c r="A228" s="12" t="n">
        <v>147</v>
      </c>
      <c r="B228" s="12" t="n">
        <v>341</v>
      </c>
      <c r="C228" s="12" t="n">
        <v>302</v>
      </c>
      <c r="D228" s="5" t="n">
        <v>19.96</v>
      </c>
      <c r="E228" s="9">
        <f>D228+1.5</f>
        <v/>
      </c>
      <c r="F228" s="9">
        <f>D228-1.5</f>
        <v/>
      </c>
      <c r="G228" s="25" t="n">
        <v>20.1</v>
      </c>
      <c r="H228" s="6">
        <f>IF(OR(K228&gt;E228,K228&lt;F228),"FAIL","PASS")</f>
        <v/>
      </c>
      <c r="I228" s="7">
        <f>IF(G228&gt;300,G228-360-D228,G228-D228)</f>
        <v/>
      </c>
      <c r="J228" s="8">
        <f>IF(G228&gt;300,G228-360,0)</f>
        <v/>
      </c>
      <c r="K228" s="8">
        <f>IF(J228=0,G228,J228)</f>
        <v/>
      </c>
    </row>
    <row r="229" ht="15" customHeight="1">
      <c r="A229" s="12" t="n">
        <v>146</v>
      </c>
      <c r="B229" s="12" t="n">
        <v>339</v>
      </c>
      <c r="C229" s="12" t="n">
        <v>131</v>
      </c>
      <c r="D229" s="5" t="n">
        <v>20.61</v>
      </c>
      <c r="E229" s="9">
        <f>D229+1.5</f>
        <v/>
      </c>
      <c r="F229" s="9">
        <f>D229-1.5</f>
        <v/>
      </c>
      <c r="G229" s="25" t="n">
        <v>20.71</v>
      </c>
      <c r="H229" s="6">
        <f>IF(OR(K229&gt;E229,K229&lt;F229),"FAIL","PASS")</f>
        <v/>
      </c>
      <c r="I229" s="7">
        <f>IF(G229&gt;300,G229-360-D229,G229-D229)</f>
        <v/>
      </c>
      <c r="J229" s="8">
        <f>IF(G229&gt;300,G229-360,0)</f>
        <v/>
      </c>
      <c r="K229" s="8">
        <f>IF(J229=0,G229,J229)</f>
        <v/>
      </c>
    </row>
    <row r="230" ht="15" customHeight="1">
      <c r="A230" s="12" t="n">
        <v>145</v>
      </c>
      <c r="B230" s="12" t="n">
        <v>336</v>
      </c>
      <c r="C230" s="12" t="n">
        <v>319</v>
      </c>
      <c r="D230" s="5" t="n">
        <v>21.28</v>
      </c>
      <c r="E230" s="9">
        <f>D230+1.5</f>
        <v/>
      </c>
      <c r="F230" s="9">
        <f>D230-1.5</f>
        <v/>
      </c>
      <c r="G230" s="25" t="n">
        <v>21.37</v>
      </c>
      <c r="H230" s="6">
        <f>IF(OR(K230&gt;E230,K230&lt;F230),"FAIL","PASS")</f>
        <v/>
      </c>
      <c r="I230" s="7">
        <f>IF(G230&gt;300,G230-360-D230,G230-D230)</f>
        <v/>
      </c>
      <c r="J230" s="8">
        <f>IF(G230&gt;300,G230-360,0)</f>
        <v/>
      </c>
      <c r="K230" s="8">
        <f>IF(J230=0,G230,J230)</f>
        <v/>
      </c>
    </row>
    <row r="231" ht="15" customHeight="1">
      <c r="A231" s="12" t="n">
        <v>144</v>
      </c>
      <c r="B231" s="12" t="n">
        <v>334</v>
      </c>
      <c r="C231" s="12" t="n">
        <v>147</v>
      </c>
      <c r="D231" s="5" t="n">
        <v>21.94</v>
      </c>
      <c r="E231" s="9">
        <f>D231+1.5</f>
        <v/>
      </c>
      <c r="F231" s="9">
        <f>D231-1.5</f>
        <v/>
      </c>
      <c r="G231" s="25" t="n">
        <v>22</v>
      </c>
      <c r="H231" s="6">
        <f>IF(OR(K231&gt;E231,K231&lt;F231),"FAIL","PASS")</f>
        <v/>
      </c>
      <c r="I231" s="7">
        <f>IF(G231&gt;300,G231-360-D231,G231-D231)</f>
        <v/>
      </c>
      <c r="J231" s="8">
        <f>IF(G231&gt;300,G231-360,0)</f>
        <v/>
      </c>
      <c r="K231" s="8">
        <f>IF(J231=0,G231,J231)</f>
        <v/>
      </c>
    </row>
    <row r="232" ht="15" customHeight="1">
      <c r="A232" s="12" t="n">
        <v>143</v>
      </c>
      <c r="B232" s="12" t="n">
        <v>331</v>
      </c>
      <c r="C232" s="12" t="n">
        <v>335</v>
      </c>
      <c r="D232" s="5" t="n">
        <v>22.59</v>
      </c>
      <c r="E232" s="9">
        <f>D232+1.5</f>
        <v/>
      </c>
      <c r="F232" s="9">
        <f>D232-1.5</f>
        <v/>
      </c>
      <c r="G232" s="25" t="n">
        <v>22.64</v>
      </c>
      <c r="H232" s="6">
        <f>IF(OR(K232&gt;E232,K232&lt;F232),"FAIL","PASS")</f>
        <v/>
      </c>
      <c r="I232" s="7">
        <f>IF(G232&gt;300,G232-360-D232,G232-D232)</f>
        <v/>
      </c>
      <c r="J232" s="8">
        <f>IF(G232&gt;300,G232-360,0)</f>
        <v/>
      </c>
      <c r="K232" s="8">
        <f>IF(J232=0,G232,J232)</f>
        <v/>
      </c>
    </row>
    <row r="233" ht="15" customHeight="1">
      <c r="A233" s="12" t="n">
        <v>142</v>
      </c>
      <c r="B233" s="12" t="n">
        <v>329</v>
      </c>
      <c r="C233" s="12" t="n">
        <v>164</v>
      </c>
      <c r="D233" s="5" t="n">
        <v>23.22</v>
      </c>
      <c r="E233" s="9">
        <f>D233+1.5</f>
        <v/>
      </c>
      <c r="F233" s="9">
        <f>D233-1.5</f>
        <v/>
      </c>
      <c r="G233" s="25" t="n">
        <v>23.29</v>
      </c>
      <c r="H233" s="6">
        <f>IF(OR(K233&gt;E233,K233&lt;F233),"FAIL","PASS")</f>
        <v/>
      </c>
      <c r="I233" s="7">
        <f>IF(G233&gt;300,G233-360-D233,G233-D233)</f>
        <v/>
      </c>
      <c r="J233" s="8">
        <f>IF(G233&gt;300,G233-360,0)</f>
        <v/>
      </c>
      <c r="K233" s="8">
        <f>IF(J233=0,G233,J233)</f>
        <v/>
      </c>
    </row>
    <row r="234" ht="15" customHeight="1">
      <c r="A234" s="12" t="n">
        <v>141</v>
      </c>
      <c r="B234" s="12" t="n">
        <v>326</v>
      </c>
      <c r="C234" s="12" t="n">
        <v>352</v>
      </c>
      <c r="D234" s="5" t="n">
        <v>23.9</v>
      </c>
      <c r="E234" s="9">
        <f>D234+1.5</f>
        <v/>
      </c>
      <c r="F234" s="9">
        <f>D234-1.5</f>
        <v/>
      </c>
      <c r="G234" s="25" t="n">
        <v>23.99</v>
      </c>
      <c r="H234" s="6">
        <f>IF(OR(K234&gt;E234,K234&lt;F234),"FAIL","PASS")</f>
        <v/>
      </c>
      <c r="I234" s="7">
        <f>IF(G234&gt;300,G234-360-D234,G234-D234)</f>
        <v/>
      </c>
      <c r="J234" s="8">
        <f>IF(G234&gt;300,G234-360,0)</f>
        <v/>
      </c>
      <c r="K234" s="8">
        <f>IF(J234=0,G234,J234)</f>
        <v/>
      </c>
    </row>
    <row r="235" ht="15" customHeight="1">
      <c r="A235" s="12" t="n">
        <v>140</v>
      </c>
      <c r="B235" s="12" t="n">
        <v>324</v>
      </c>
      <c r="C235" s="12" t="n">
        <v>180</v>
      </c>
      <c r="D235" s="5" t="n">
        <v>24.55</v>
      </c>
      <c r="E235" s="9">
        <f>D235+1.5</f>
        <v/>
      </c>
      <c r="F235" s="9">
        <f>D235-1.5</f>
        <v/>
      </c>
      <c r="G235" s="25" t="n">
        <v>24.64</v>
      </c>
      <c r="H235" s="6">
        <f>IF(OR(K235&gt;E235,K235&lt;F235),"FAIL","PASS")</f>
        <v/>
      </c>
      <c r="I235" s="7">
        <f>IF(G235&gt;300,G235-360-D235,G235-D235)</f>
        <v/>
      </c>
      <c r="J235" s="8">
        <f>IF(G235&gt;300,G235-360,0)</f>
        <v/>
      </c>
      <c r="K235" s="8">
        <f>IF(J235=0,G235,J235)</f>
        <v/>
      </c>
    </row>
    <row r="236" ht="15" customHeight="1">
      <c r="A236" s="12" t="n">
        <v>139</v>
      </c>
      <c r="B236" s="12" t="n">
        <v>322</v>
      </c>
      <c r="C236" s="12" t="n">
        <v>8</v>
      </c>
      <c r="D236" s="5" t="n">
        <v>25.18</v>
      </c>
      <c r="E236" s="9">
        <f>D236+1.5</f>
        <v/>
      </c>
      <c r="F236" s="9">
        <f>D236-1.5</f>
        <v/>
      </c>
      <c r="G236" s="25" t="n">
        <v>25.36</v>
      </c>
      <c r="H236" s="6">
        <f>IF(OR(K236&gt;E236,K236&lt;F236),"FAIL","PASS")</f>
        <v/>
      </c>
      <c r="I236" s="7">
        <f>IF(G236&gt;300,G236-360-D236,G236-D236)</f>
        <v/>
      </c>
      <c r="J236" s="8">
        <f>IF(G236&gt;300,G236-360,0)</f>
        <v/>
      </c>
      <c r="K236" s="8">
        <f>IF(J236=0,G236,J236)</f>
        <v/>
      </c>
    </row>
    <row r="237" ht="15" customHeight="1">
      <c r="A237" s="12" t="n">
        <v>138</v>
      </c>
      <c r="B237" s="12" t="n">
        <v>319</v>
      </c>
      <c r="C237" s="12" t="n">
        <v>197</v>
      </c>
      <c r="D237" s="5" t="n">
        <v>25.83</v>
      </c>
      <c r="E237" s="9">
        <f>D237+1.5</f>
        <v/>
      </c>
      <c r="F237" s="9">
        <f>D237-1.5</f>
        <v/>
      </c>
      <c r="G237" s="25" t="n">
        <v>26.01</v>
      </c>
      <c r="H237" s="6">
        <f>IF(OR(K237&gt;E237,K237&lt;F237),"FAIL","PASS")</f>
        <v/>
      </c>
      <c r="I237" s="7">
        <f>IF(G237&gt;300,G237-360-D237,G237-D237)</f>
        <v/>
      </c>
      <c r="J237" s="8">
        <f>IF(G237&gt;300,G237-360,0)</f>
        <v/>
      </c>
      <c r="K237" s="8">
        <f>IF(J237=0,G237,J237)</f>
        <v/>
      </c>
    </row>
    <row r="238" ht="15" customHeight="1">
      <c r="A238" s="12" t="n">
        <v>137</v>
      </c>
      <c r="B238" s="12" t="n">
        <v>317</v>
      </c>
      <c r="C238" s="12" t="n">
        <v>25</v>
      </c>
      <c r="D238" s="5" t="n">
        <v>26.51</v>
      </c>
      <c r="E238" s="9">
        <f>D238+1.5</f>
        <v/>
      </c>
      <c r="F238" s="9">
        <f>D238-1.5</f>
        <v/>
      </c>
      <c r="G238" s="25" t="n">
        <v>26.68</v>
      </c>
      <c r="H238" s="6">
        <f>IF(OR(K238&gt;E238,K238&lt;F238),"FAIL","PASS")</f>
        <v/>
      </c>
      <c r="I238" s="7">
        <f>IF(G238&gt;300,G238-360-D238,G238-D238)</f>
        <v/>
      </c>
      <c r="J238" s="8">
        <f>IF(G238&gt;300,G238-360,0)</f>
        <v/>
      </c>
      <c r="K238" s="8">
        <f>IF(J238=0,G238,J238)</f>
        <v/>
      </c>
    </row>
    <row r="239" ht="15" customHeight="1">
      <c r="A239" s="12" t="n">
        <v>136</v>
      </c>
      <c r="B239" s="12" t="n">
        <v>314</v>
      </c>
      <c r="C239" s="15" t="n">
        <v>213</v>
      </c>
      <c r="D239" s="5" t="n">
        <v>27.18</v>
      </c>
      <c r="E239" s="9">
        <f>D239+1.5</f>
        <v/>
      </c>
      <c r="F239" s="9">
        <f>D239-1.5</f>
        <v/>
      </c>
      <c r="G239" s="25" t="n">
        <v>27.32</v>
      </c>
      <c r="H239" s="6">
        <f>IF(OR(K239&gt;E239,K239&lt;F239),"FAIL","PASS")</f>
        <v/>
      </c>
      <c r="I239" s="7">
        <f>IF(G239&gt;300,G239-360-D239,G239-D239)</f>
        <v/>
      </c>
      <c r="J239" s="8">
        <f>IF(G239&gt;300,G239-360,0)</f>
        <v/>
      </c>
      <c r="K239" s="8">
        <f>IF(J239=0,G239,J239)</f>
        <v/>
      </c>
    </row>
    <row r="240" ht="15" customHeight="1">
      <c r="A240" s="12" t="n">
        <v>135</v>
      </c>
      <c r="B240" s="12" t="n">
        <v>312</v>
      </c>
      <c r="C240" s="12" t="n">
        <v>41</v>
      </c>
      <c r="D240" s="5" t="n">
        <v>27.83</v>
      </c>
      <c r="E240" s="9">
        <f>D240+1.5</f>
        <v/>
      </c>
      <c r="F240" s="9">
        <f>D240-1.5</f>
        <v/>
      </c>
      <c r="G240" s="25" t="n">
        <v>28.02</v>
      </c>
      <c r="H240" s="6">
        <f>IF(OR(K240&gt;E240,K240&lt;F240),"FAIL","PASS")</f>
        <v/>
      </c>
      <c r="I240" s="7">
        <f>IF(G240&gt;300,G240-360-D240,G240-D240)</f>
        <v/>
      </c>
      <c r="J240" s="8">
        <f>IF(G240&gt;300,G240-360,0)</f>
        <v/>
      </c>
      <c r="K240" s="8">
        <f>IF(J240=0,G240,J240)</f>
        <v/>
      </c>
    </row>
    <row r="241" ht="15" customHeight="1">
      <c r="A241" s="12" t="n">
        <v>134</v>
      </c>
      <c r="B241" s="12" t="n">
        <v>309</v>
      </c>
      <c r="C241" s="12" t="n">
        <v>230</v>
      </c>
      <c r="D241" s="5" t="n">
        <v>28.49</v>
      </c>
      <c r="E241" s="9">
        <f>D241+1.5</f>
        <v/>
      </c>
      <c r="F241" s="9">
        <f>D241-1.5</f>
        <v/>
      </c>
      <c r="G241" s="25" t="n">
        <v>28.64</v>
      </c>
      <c r="H241" s="6">
        <f>IF(OR(K241&gt;E241,K241&lt;F241),"FAIL","PASS")</f>
        <v/>
      </c>
      <c r="I241" s="7">
        <f>IF(G241&gt;300,G241-360-D241,G241-D241)</f>
        <v/>
      </c>
      <c r="J241" s="8">
        <f>IF(G241&gt;300,G241-360,0)</f>
        <v/>
      </c>
      <c r="K241" s="8">
        <f>IF(J241=0,G241,J241)</f>
        <v/>
      </c>
    </row>
    <row r="242" ht="15" customHeight="1">
      <c r="A242" s="12" t="n">
        <v>133</v>
      </c>
      <c r="B242" s="12" t="n">
        <v>307</v>
      </c>
      <c r="C242" s="12" t="n">
        <v>58</v>
      </c>
      <c r="D242" s="5" t="n">
        <v>29.15</v>
      </c>
      <c r="E242" s="9">
        <f>D242+1.5</f>
        <v/>
      </c>
      <c r="F242" s="9">
        <f>D242-1.5</f>
        <v/>
      </c>
      <c r="G242" s="25" t="n">
        <v>29.35</v>
      </c>
      <c r="H242" s="6">
        <f>IF(OR(K242&gt;E242,K242&lt;F242),"FAIL","PASS")</f>
        <v/>
      </c>
      <c r="I242" s="7">
        <f>IF(G242&gt;300,G242-360-D242,G242-D242)</f>
        <v/>
      </c>
      <c r="J242" s="8">
        <f>IF(G242&gt;300,G242-360,0)</f>
        <v/>
      </c>
      <c r="K242" s="8">
        <f>IF(J242=0,G242,J242)</f>
        <v/>
      </c>
    </row>
    <row r="243" ht="15" customHeight="1">
      <c r="A243" s="12" t="n">
        <v>132</v>
      </c>
      <c r="B243" s="12" t="n">
        <v>304</v>
      </c>
      <c r="C243" s="12" t="n">
        <v>246</v>
      </c>
      <c r="D243" s="5" t="n">
        <v>29.78</v>
      </c>
      <c r="E243" s="9">
        <f>D243+1.5</f>
        <v/>
      </c>
      <c r="F243" s="9">
        <f>D243-1.5</f>
        <v/>
      </c>
      <c r="G243" s="25" t="n">
        <v>29.96</v>
      </c>
      <c r="H243" s="6">
        <f>IF(OR(K243&gt;E243,K243&lt;F243),"FAIL","PASS")</f>
        <v/>
      </c>
      <c r="I243" s="7">
        <f>IF(G243&gt;300,G243-360-D243,G243-D243)</f>
        <v/>
      </c>
      <c r="J243" s="8">
        <f>IF(G243&gt;300,G243-360,0)</f>
        <v/>
      </c>
      <c r="K243" s="8">
        <f>IF(J243=0,G243,J243)</f>
        <v/>
      </c>
    </row>
    <row r="244" ht="12.75" customHeight="1">
      <c r="A244" s="15" t="n">
        <v>131</v>
      </c>
      <c r="B244" s="11" t="inlineStr">
        <is>
          <t xml:space="preserve">302
</t>
        </is>
      </c>
      <c r="C244" s="11" t="n">
        <v>74</v>
      </c>
      <c r="D244" s="5" t="n">
        <v>30.44</v>
      </c>
      <c r="E244" s="9">
        <f>D244+1.5</f>
        <v/>
      </c>
      <c r="F244" s="9">
        <f>D244-1.5</f>
        <v/>
      </c>
      <c r="G244" s="25" t="n">
        <v>30.64</v>
      </c>
      <c r="H244" s="6">
        <f>IF(OR(K244&gt;E244,K244&lt;F244),"FAIL","PASS")</f>
        <v/>
      </c>
      <c r="I244" s="7">
        <f>IF(G244&gt;300,G244-360-D244,G244-D244)</f>
        <v/>
      </c>
      <c r="J244" s="8">
        <f>IF(G244&gt;300,G244-360,0)</f>
        <v/>
      </c>
      <c r="K244" s="8">
        <f>IF(J244=0,G244,J244)</f>
        <v/>
      </c>
    </row>
    <row r="245" ht="15" customHeight="1">
      <c r="A245" s="11" t="n">
        <v>130</v>
      </c>
      <c r="B245" s="12" t="n">
        <v>299</v>
      </c>
      <c r="C245" s="12" t="n">
        <v>263</v>
      </c>
      <c r="D245" s="5" t="n">
        <v>31.1</v>
      </c>
      <c r="E245" s="9">
        <f>D245+1.5</f>
        <v/>
      </c>
      <c r="F245" s="9">
        <f>D245-1.5</f>
        <v/>
      </c>
      <c r="G245" s="25" t="n">
        <v>31.24</v>
      </c>
      <c r="H245" s="6">
        <f>IF(OR(K245&gt;E245,K245&lt;F245),"FAIL","PASS")</f>
        <v/>
      </c>
      <c r="I245" s="7">
        <f>IF(G245&gt;300,G245-360-D245,G245-D245)</f>
        <v/>
      </c>
      <c r="J245" s="8">
        <f>IF(G245&gt;300,G245-360,0)</f>
        <v/>
      </c>
      <c r="K245" s="8">
        <f>IF(J245=0,G245,J245)</f>
        <v/>
      </c>
    </row>
    <row r="246" ht="12.75" customHeight="1">
      <c r="A246" s="12" t="n">
        <v>129</v>
      </c>
      <c r="B246" s="12" t="n">
        <v>297</v>
      </c>
      <c r="C246" s="12" t="n">
        <v>91</v>
      </c>
      <c r="D246" s="5" t="n">
        <v>31.79</v>
      </c>
      <c r="E246" s="9">
        <f>D246+1.5</f>
        <v/>
      </c>
      <c r="F246" s="9">
        <f>D246-1.5</f>
        <v/>
      </c>
      <c r="G246" s="25" t="n">
        <v>31.85</v>
      </c>
      <c r="H246" s="6">
        <f>IF(OR(K246&gt;E246,K246&lt;F246),"FAIL","PASS")</f>
        <v/>
      </c>
      <c r="I246" s="7">
        <f>IF(G246&gt;300,G246-360-D246,G246-D246)</f>
        <v/>
      </c>
      <c r="J246" s="8">
        <f>IF(G246&gt;300,G246-360,0)</f>
        <v/>
      </c>
      <c r="K246" s="8">
        <f>IF(J246=0,G246,J246)</f>
        <v/>
      </c>
    </row>
    <row r="247" ht="15" customHeight="1">
      <c r="A247" s="12" t="n">
        <v>128</v>
      </c>
      <c r="B247" s="12" t="n">
        <v>294</v>
      </c>
      <c r="C247" s="12" t="n">
        <v>279</v>
      </c>
      <c r="D247" s="5" t="n">
        <v>32.46</v>
      </c>
      <c r="E247" s="9">
        <f>D247+1.5</f>
        <v/>
      </c>
      <c r="F247" s="9">
        <f>D247-1.5</f>
        <v/>
      </c>
      <c r="G247" s="25" t="n">
        <v>32.54</v>
      </c>
      <c r="H247" s="6">
        <f>IF(OR(K247&gt;E247,K247&lt;F247),"FAIL","PASS")</f>
        <v/>
      </c>
      <c r="I247" s="7">
        <f>IF(G247&gt;300,G247-360-D247,G247-D247)</f>
        <v/>
      </c>
      <c r="J247" s="8">
        <f>IF(G247&gt;300,G247-360,0)</f>
        <v/>
      </c>
      <c r="K247" s="8">
        <f>IF(J247=0,G247,J247)</f>
        <v/>
      </c>
    </row>
    <row r="248" ht="15" customHeight="1">
      <c r="A248" s="12" t="n">
        <v>127</v>
      </c>
      <c r="B248" s="12" t="n">
        <v>292</v>
      </c>
      <c r="C248" s="12" t="n">
        <v>107</v>
      </c>
      <c r="D248" s="5" t="n">
        <v>33.09</v>
      </c>
      <c r="E248" s="9">
        <f>D248+1.5</f>
        <v/>
      </c>
      <c r="F248" s="9">
        <f>D248-1.5</f>
        <v/>
      </c>
      <c r="G248" s="25" t="n">
        <v>33.15</v>
      </c>
      <c r="H248" s="6">
        <f>IF(OR(K248&gt;E248,K248&lt;F248),"FAIL","PASS")</f>
        <v/>
      </c>
      <c r="I248" s="7">
        <f>IF(G248&gt;300,G248-360-D248,G248-D248)</f>
        <v/>
      </c>
      <c r="J248" s="8">
        <f>IF(G248&gt;300,G248-360,0)</f>
        <v/>
      </c>
      <c r="K248" s="8">
        <f>IF(J248=0,G248,J248)</f>
        <v/>
      </c>
    </row>
    <row r="249" ht="15" customHeight="1">
      <c r="A249" s="12" t="n">
        <v>126</v>
      </c>
      <c r="B249" s="12" t="n">
        <v>289</v>
      </c>
      <c r="C249" s="12" t="n">
        <v>295</v>
      </c>
      <c r="D249" s="5" t="n">
        <v>33.8</v>
      </c>
      <c r="E249" s="9">
        <f>D249+1.5</f>
        <v/>
      </c>
      <c r="F249" s="9">
        <f>D249-1.5</f>
        <v/>
      </c>
      <c r="G249" s="25" t="n">
        <v>33.88</v>
      </c>
      <c r="H249" s="6">
        <f>IF(OR(K249&gt;E249,K249&lt;F249),"FAIL","PASS")</f>
        <v/>
      </c>
      <c r="I249" s="7">
        <f>IF(G249&gt;300,G249-360-D249,G249-D249)</f>
        <v/>
      </c>
      <c r="J249" s="8">
        <f>IF(G249&gt;300,G249-360,0)</f>
        <v/>
      </c>
      <c r="K249" s="8">
        <f>IF(J249=0,G249,J249)</f>
        <v/>
      </c>
    </row>
    <row r="250" ht="15" customHeight="1">
      <c r="A250" s="12" t="n">
        <v>125</v>
      </c>
      <c r="B250" s="12" t="n">
        <v>287</v>
      </c>
      <c r="C250" s="12" t="n">
        <v>124</v>
      </c>
      <c r="D250" s="5" t="n">
        <v>34.6</v>
      </c>
      <c r="E250" s="9">
        <f>D250+1.5</f>
        <v/>
      </c>
      <c r="F250" s="9">
        <f>D250-1.5</f>
        <v/>
      </c>
      <c r="G250" s="25" t="n">
        <v>34.65</v>
      </c>
      <c r="H250" s="6">
        <f>IF(OR(K250&gt;E250,K250&lt;F250),"FAIL","PASS")</f>
        <v/>
      </c>
      <c r="I250" s="7">
        <f>IF(G250&gt;300,G250-360-D250,G250-D250)</f>
        <v/>
      </c>
      <c r="J250" s="8">
        <f>IF(G250&gt;300,G250-360,0)</f>
        <v/>
      </c>
      <c r="K250" s="8">
        <f>IF(J250=0,G250,J250)</f>
        <v/>
      </c>
    </row>
    <row r="251" ht="15" customHeight="1">
      <c r="A251" s="12" t="n">
        <v>124</v>
      </c>
      <c r="B251" s="12" t="n">
        <v>284</v>
      </c>
      <c r="C251" s="12" t="n">
        <v>312</v>
      </c>
      <c r="D251" s="5" t="n">
        <v>35.24</v>
      </c>
      <c r="E251" s="9">
        <f>D251+1.5</f>
        <v/>
      </c>
      <c r="F251" s="9">
        <f>D251-1.5</f>
        <v/>
      </c>
      <c r="G251" s="25" t="n">
        <v>35.26</v>
      </c>
      <c r="H251" s="6">
        <f>IF(OR(K251&gt;E251,K251&lt;F251),"FAIL","PASS")</f>
        <v/>
      </c>
      <c r="I251" s="7">
        <f>IF(G251&gt;300,G251-360-D251,G251-D251)</f>
        <v/>
      </c>
      <c r="J251" s="8">
        <f>IF(G251&gt;300,G251-360,0)</f>
        <v/>
      </c>
      <c r="K251" s="8">
        <f>IF(J251=0,G251,J251)</f>
        <v/>
      </c>
    </row>
    <row r="252" ht="15" customHeight="1">
      <c r="A252" s="12" t="n">
        <v>123</v>
      </c>
      <c r="B252" s="12" t="n">
        <v>282</v>
      </c>
      <c r="C252" s="12" t="n">
        <v>140</v>
      </c>
      <c r="D252" s="5" t="n">
        <v>35.79</v>
      </c>
      <c r="E252" s="9">
        <f>D252+1.5</f>
        <v/>
      </c>
      <c r="F252" s="9">
        <f>D252-1.5</f>
        <v/>
      </c>
      <c r="G252" s="25" t="n">
        <v>35.82</v>
      </c>
      <c r="H252" s="6">
        <f>IF(OR(K252&gt;E252,K252&lt;F252),"FAIL","PASS")</f>
        <v/>
      </c>
      <c r="I252" s="7">
        <f>IF(G252&gt;300,G252-360-D252,G252-D252)</f>
        <v/>
      </c>
      <c r="J252" s="8">
        <f>IF(G252&gt;300,G252-360,0)</f>
        <v/>
      </c>
      <c r="K252" s="8">
        <f>IF(J252=0,G252,J252)</f>
        <v/>
      </c>
    </row>
    <row r="253" ht="15" customHeight="1">
      <c r="A253" s="12" t="n">
        <v>122</v>
      </c>
      <c r="B253" s="12" t="n">
        <v>279</v>
      </c>
      <c r="C253" s="12" t="n">
        <v>328</v>
      </c>
      <c r="D253" s="5" t="n">
        <v>36.37</v>
      </c>
      <c r="E253" s="9">
        <f>D253+1.5</f>
        <v/>
      </c>
      <c r="F253" s="9">
        <f>D253-1.5</f>
        <v/>
      </c>
      <c r="G253" s="25" t="n">
        <v>36.22</v>
      </c>
      <c r="H253" s="6">
        <f>IF(OR(K253&gt;E253,K253&lt;F253),"FAIL","PASS")</f>
        <v/>
      </c>
      <c r="I253" s="7">
        <f>IF(G253&gt;300,G253-360-D253,G253-D253)</f>
        <v/>
      </c>
      <c r="J253" s="8">
        <f>IF(G253&gt;300,G253-360,0)</f>
        <v/>
      </c>
      <c r="K253" s="8">
        <f>IF(J253=0,G253,J253)</f>
        <v/>
      </c>
    </row>
    <row r="254" ht="15" customHeight="1">
      <c r="A254" s="12" t="n">
        <v>121</v>
      </c>
      <c r="B254" s="12" t="n">
        <v>276</v>
      </c>
      <c r="C254" s="12" t="n">
        <v>238</v>
      </c>
      <c r="D254" s="5" t="n">
        <v>37</v>
      </c>
      <c r="E254" s="9">
        <f>D254+1.5</f>
        <v/>
      </c>
      <c r="F254" s="9">
        <f>D254-1.5</f>
        <v/>
      </c>
      <c r="G254" s="25" t="n">
        <v>36.81</v>
      </c>
      <c r="H254" s="6">
        <f>IF(OR(K254&gt;E254,K254&lt;F254),"FAIL","PASS")</f>
        <v/>
      </c>
      <c r="I254" s="7">
        <f>IF(G254&gt;300,G254-360-D254,G254-D254)</f>
        <v/>
      </c>
      <c r="J254" s="8">
        <f>IF(G254&gt;300,G254-360,0)</f>
        <v/>
      </c>
      <c r="K254" s="8">
        <f>IF(J254=0,G254,J254)</f>
        <v/>
      </c>
    </row>
    <row r="255" ht="15" customHeight="1">
      <c r="A255" s="12" t="n">
        <v>120</v>
      </c>
      <c r="B255" s="12" t="n">
        <v>277</v>
      </c>
      <c r="C255" s="12" t="n">
        <v>157</v>
      </c>
      <c r="D255" s="5" t="n">
        <v>37.78</v>
      </c>
      <c r="E255" s="9">
        <f>D255+1.5</f>
        <v/>
      </c>
      <c r="F255" s="9">
        <f>D255-1.5</f>
        <v/>
      </c>
      <c r="G255" s="25" t="n">
        <v>37.72</v>
      </c>
      <c r="H255" s="6">
        <f>IF(OR(K255&gt;E255,K255&lt;F255),"FAIL","PASS")</f>
        <v/>
      </c>
      <c r="I255" s="7">
        <f>IF(G255&gt;300,G255-360-D255,G255-D255)</f>
        <v/>
      </c>
      <c r="J255" s="8">
        <f>IF(G255&gt;300,G255-360,0)</f>
        <v/>
      </c>
      <c r="K255" s="8">
        <f>IF(J255=0,G255,J255)</f>
        <v/>
      </c>
    </row>
    <row r="256" ht="15" customHeight="1">
      <c r="A256" s="12" t="n">
        <v>119</v>
      </c>
      <c r="B256" s="12" t="n">
        <v>274</v>
      </c>
      <c r="C256" s="12" t="n">
        <v>345</v>
      </c>
      <c r="D256" s="5" t="n">
        <v>40.14</v>
      </c>
      <c r="E256" s="9">
        <f>D256+1.5</f>
        <v/>
      </c>
      <c r="F256" s="9">
        <f>D256-1.5</f>
        <v/>
      </c>
      <c r="G256" s="25" t="n">
        <v>40.29</v>
      </c>
      <c r="H256" s="6">
        <f>IF(OR(K256&gt;E256,K256&lt;F256),"FAIL","PASS")</f>
        <v/>
      </c>
      <c r="I256" s="7">
        <f>IF(G256&gt;300,G256-360-D256,G256-D256)</f>
        <v/>
      </c>
      <c r="J256" s="8">
        <f>IF(G256&gt;300,G256-360,0)</f>
        <v/>
      </c>
      <c r="K256" s="8">
        <f>IF(J256=0,G256,J256)</f>
        <v/>
      </c>
    </row>
    <row r="257" ht="15" customHeight="1">
      <c r="A257" s="12" t="n">
        <v>118</v>
      </c>
      <c r="B257" s="12" t="n">
        <v>272</v>
      </c>
      <c r="C257" s="12" t="n">
        <v>173</v>
      </c>
      <c r="D257" s="5" t="n">
        <v>42.8</v>
      </c>
      <c r="E257" s="9">
        <f>D257+1.5</f>
        <v/>
      </c>
      <c r="F257" s="9">
        <f>D257-1.5</f>
        <v/>
      </c>
      <c r="G257" s="25" t="n">
        <v>42.81</v>
      </c>
      <c r="H257" s="6">
        <f>IF(OR(K257&gt;E257,K257&lt;F257),"FAIL","PASS")</f>
        <v/>
      </c>
      <c r="I257" s="7">
        <f>IF(G257&gt;300,G257-360-D257,G257-D257)</f>
        <v/>
      </c>
      <c r="J257" s="8">
        <f>IF(G257&gt;300,G257-360,0)</f>
        <v/>
      </c>
      <c r="K257" s="8">
        <f>IF(J257=0,G257,J257)</f>
        <v/>
      </c>
    </row>
    <row r="258" ht="15" customHeight="1">
      <c r="A258" s="15" t="n">
        <v>117</v>
      </c>
      <c r="B258" s="12" t="n">
        <v>270</v>
      </c>
      <c r="C258" s="12" t="n">
        <v>1</v>
      </c>
      <c r="D258" s="5" t="n">
        <v>45.53</v>
      </c>
      <c r="E258" s="9">
        <f>D258+1.5</f>
        <v/>
      </c>
      <c r="F258" s="9">
        <f>D258-1.5</f>
        <v/>
      </c>
      <c r="G258" s="25" t="n">
        <v>45.53</v>
      </c>
      <c r="H258" s="6">
        <f>IF(OR(K258&gt;E258,K258&lt;F258),"FAIL","PASS")</f>
        <v/>
      </c>
      <c r="I258" s="7">
        <f>IF(G258&gt;300,G258-360-D258,G258-D258)</f>
        <v/>
      </c>
      <c r="J258" s="8">
        <f>IF(G258&gt;300,G258-360,0)</f>
        <v/>
      </c>
      <c r="K258" s="8">
        <f>IF(J258=0,G258,J258)</f>
        <v/>
      </c>
    </row>
    <row r="259" ht="15" customHeight="1">
      <c r="A259" s="12" t="n">
        <v>116</v>
      </c>
      <c r="B259" s="12" t="n">
        <v>267</v>
      </c>
      <c r="C259" s="12" t="n">
        <v>190</v>
      </c>
      <c r="D259" s="5" t="n">
        <v>48.71</v>
      </c>
      <c r="E259" s="9">
        <f>D259+1.5</f>
        <v/>
      </c>
      <c r="F259" s="9">
        <f>D259-1.5</f>
        <v/>
      </c>
      <c r="G259" s="25" t="n">
        <v>48.79</v>
      </c>
      <c r="H259" s="6">
        <f>IF(OR(K259&gt;E259,K259&lt;F259),"FAIL","PASS")</f>
        <v/>
      </c>
      <c r="I259" s="7">
        <f>IF(G259&gt;300,G259-360-D259,G259-D259)</f>
        <v/>
      </c>
      <c r="J259" s="8">
        <f>IF(G259&gt;300,G259-360,0)</f>
        <v/>
      </c>
      <c r="K259" s="8">
        <f>IF(J259=0,G259,J259)</f>
        <v/>
      </c>
    </row>
    <row r="260" ht="15" customHeight="1">
      <c r="A260" s="12" t="n">
        <v>115</v>
      </c>
      <c r="B260" s="12" t="n">
        <v>265</v>
      </c>
      <c r="C260" s="12" t="n">
        <v>18</v>
      </c>
      <c r="D260" s="5" t="n">
        <v>52.21</v>
      </c>
      <c r="E260" s="9">
        <f>D260+1.5</f>
        <v/>
      </c>
      <c r="F260" s="9">
        <f>D260-1.5</f>
        <v/>
      </c>
      <c r="G260" s="25" t="n">
        <v>52.51</v>
      </c>
      <c r="H260" s="6">
        <f>IF(OR(K260&gt;E260,K260&lt;F260),"FAIL","PASS")</f>
        <v/>
      </c>
      <c r="I260" s="7">
        <f>IF(G260&gt;300,G260-360-D260,G260-D260)</f>
        <v/>
      </c>
      <c r="J260" s="8">
        <f>IF(G260&gt;300,G260-360,0)</f>
        <v/>
      </c>
      <c r="K260" s="8">
        <f>IF(J260=0,G260,J260)</f>
        <v/>
      </c>
    </row>
    <row r="261" ht="15" customHeight="1">
      <c r="A261" s="12" t="n">
        <v>114</v>
      </c>
      <c r="B261" s="12" t="n">
        <v>262</v>
      </c>
      <c r="C261" s="12" t="n">
        <v>206</v>
      </c>
      <c r="D261" s="5" t="n">
        <v>55.54</v>
      </c>
      <c r="E261" s="9">
        <f>D261+1.5</f>
        <v/>
      </c>
      <c r="F261" s="9">
        <f>D261-1.5</f>
        <v/>
      </c>
      <c r="G261" s="25" t="n">
        <v>55.85</v>
      </c>
      <c r="H261" s="6">
        <f>IF(OR(K261&gt;E261,K261&lt;F261),"FAIL","PASS")</f>
        <v/>
      </c>
      <c r="I261" s="7">
        <f>IF(G261&gt;300,G261-360-D261,G261-D261)</f>
        <v/>
      </c>
      <c r="J261" s="8">
        <f>IF(G261&gt;300,G261-360,0)</f>
        <v/>
      </c>
      <c r="K261" s="8">
        <f>IF(J261=0,G261,J261)</f>
        <v/>
      </c>
    </row>
    <row r="262" ht="15" customHeight="1">
      <c r="A262" s="12" t="n">
        <v>113</v>
      </c>
      <c r="B262" s="12" t="n">
        <v>260</v>
      </c>
      <c r="C262" s="12" t="n">
        <v>34</v>
      </c>
      <c r="D262" s="5" t="n">
        <v>58.76</v>
      </c>
      <c r="E262" s="9">
        <f>D262+1.5</f>
        <v/>
      </c>
      <c r="F262" s="9">
        <f>D262-1.5</f>
        <v/>
      </c>
      <c r="G262" s="25" t="n">
        <v>59.01</v>
      </c>
      <c r="H262" s="6">
        <f>IF(OR(K262&gt;E262,K262&lt;F262),"FAIL","PASS")</f>
        <v/>
      </c>
      <c r="I262" s="7">
        <f>IF(G262&gt;300,G262-360-D262,G262-D262)</f>
        <v/>
      </c>
      <c r="J262" s="8">
        <f>IF(G262&gt;300,G262-360,0)</f>
        <v/>
      </c>
      <c r="K262" s="8">
        <f>IF(J262=0,G262,J262)</f>
        <v/>
      </c>
    </row>
    <row r="263" ht="15" customHeight="1">
      <c r="A263" s="12" t="n">
        <v>112</v>
      </c>
      <c r="B263" s="12" t="n">
        <v>257</v>
      </c>
      <c r="C263" s="12" t="n">
        <v>223</v>
      </c>
      <c r="D263" s="5" t="n">
        <v>61.54</v>
      </c>
      <c r="E263" s="9">
        <f>D263+1.5</f>
        <v/>
      </c>
      <c r="F263" s="9">
        <f>D263-1.5</f>
        <v/>
      </c>
      <c r="G263" s="25" t="n">
        <v>61.77</v>
      </c>
      <c r="H263" s="6">
        <f>IF(OR(K263&gt;E263,K263&lt;F263),"FAIL","PASS")</f>
        <v/>
      </c>
      <c r="I263" s="7">
        <f>IF(G263&gt;300,G263-360-D263,G263-D263)</f>
        <v/>
      </c>
      <c r="J263" s="8">
        <f>IF(G263&gt;300,G263-360,0)</f>
        <v/>
      </c>
      <c r="K263" s="8">
        <f>IF(J263=0,G263,J263)</f>
        <v/>
      </c>
    </row>
    <row r="264" ht="15" customHeight="1">
      <c r="A264" s="12" t="n">
        <v>111</v>
      </c>
      <c r="B264" s="12" t="n">
        <v>255</v>
      </c>
      <c r="C264" s="12" t="n">
        <v>51</v>
      </c>
      <c r="D264" s="5" t="n">
        <v>64.09999999999999</v>
      </c>
      <c r="E264" s="9">
        <f>D264+1.5</f>
        <v/>
      </c>
      <c r="F264" s="9">
        <f>D264-1.5</f>
        <v/>
      </c>
      <c r="G264" s="25" t="n">
        <v>64.15000000000001</v>
      </c>
      <c r="H264" s="6">
        <f>IF(OR(K264&gt;E264,K264&lt;F264),"FAIL","PASS")</f>
        <v/>
      </c>
      <c r="I264" s="7">
        <f>IF(G264&gt;300,G264-360-D264,G264-D264)</f>
        <v/>
      </c>
      <c r="J264" s="8">
        <f>IF(G264&gt;300,G264-360,0)</f>
        <v/>
      </c>
      <c r="K264" s="8">
        <f>IF(J264=0,G264,J264)</f>
        <v/>
      </c>
    </row>
    <row r="265" ht="15" customHeight="1">
      <c r="A265" s="12" t="n">
        <v>110</v>
      </c>
      <c r="B265" s="12" t="n">
        <v>252</v>
      </c>
      <c r="C265" s="12" t="n">
        <v>239</v>
      </c>
      <c r="D265" s="5" t="n">
        <v>66.64</v>
      </c>
      <c r="E265" s="9">
        <f>D265+1.5</f>
        <v/>
      </c>
      <c r="F265" s="9">
        <f>D265-1.5</f>
        <v/>
      </c>
      <c r="G265" s="25" t="n">
        <v>66.68000000000001</v>
      </c>
      <c r="H265" s="6">
        <f>IF(OR(K265&gt;E265,K265&lt;F265),"FAIL","PASS")</f>
        <v/>
      </c>
      <c r="I265" s="7">
        <f>IF(G265&gt;300,G265-360-D265,G265-D265)</f>
        <v/>
      </c>
      <c r="J265" s="8">
        <f>IF(G265&gt;300,G265-360,0)</f>
        <v/>
      </c>
      <c r="K265" s="8">
        <f>IF(J265=0,G265,J265)</f>
        <v/>
      </c>
    </row>
    <row r="266" ht="15" customHeight="1">
      <c r="A266" s="12" t="n">
        <v>109</v>
      </c>
      <c r="B266" s="12" t="n">
        <v>250</v>
      </c>
      <c r="C266" s="12" t="n">
        <v>67</v>
      </c>
      <c r="D266" s="5" t="n">
        <v>69.14</v>
      </c>
      <c r="E266" s="9">
        <f>D266+1.5</f>
        <v/>
      </c>
      <c r="F266" s="9">
        <f>D266-1.5</f>
        <v/>
      </c>
      <c r="G266" s="25" t="n">
        <v>69.11</v>
      </c>
      <c r="H266" s="6">
        <f>IF(OR(K266&gt;E266,K266&lt;F266),"FAIL","PASS")</f>
        <v/>
      </c>
      <c r="I266" s="7">
        <f>IF(G266&gt;300,G266-360-D266,G266-D266)</f>
        <v/>
      </c>
      <c r="J266" s="8">
        <f>IF(G266&gt;300,G266-360,0)</f>
        <v/>
      </c>
      <c r="K266" s="8">
        <f>IF(J266=0,G266,J266)</f>
        <v/>
      </c>
    </row>
    <row r="267" ht="15" customHeight="1">
      <c r="A267" s="12" t="n">
        <v>108</v>
      </c>
      <c r="B267" s="12" t="n">
        <v>247</v>
      </c>
      <c r="C267" s="12" t="n">
        <v>256</v>
      </c>
      <c r="D267" s="5" t="n">
        <v>71.59</v>
      </c>
      <c r="E267" s="9">
        <f>D267+1.5</f>
        <v/>
      </c>
      <c r="F267" s="9">
        <f>D267-1.5</f>
        <v/>
      </c>
      <c r="G267" s="25" t="n">
        <v>71.51000000000001</v>
      </c>
      <c r="H267" s="6">
        <f>IF(OR(K267&gt;E267,K267&lt;F267),"FAIL","PASS")</f>
        <v/>
      </c>
      <c r="I267" s="7">
        <f>IF(G267&gt;300,G267-360-D267,G267-D267)</f>
        <v/>
      </c>
      <c r="J267" s="8">
        <f>IF(G267&gt;300,G267-360,0)</f>
        <v/>
      </c>
      <c r="K267" s="8">
        <f>IF(J267=0,G267,J267)</f>
        <v/>
      </c>
    </row>
    <row r="268" ht="15" customHeight="1">
      <c r="A268" s="12" t="n">
        <v>107</v>
      </c>
      <c r="B268" s="12" t="n">
        <v>245</v>
      </c>
      <c r="C268" s="12" t="n">
        <v>84</v>
      </c>
      <c r="D268" s="5" t="n">
        <v>74.06</v>
      </c>
      <c r="E268" s="9">
        <f>D268+1.5</f>
        <v/>
      </c>
      <c r="F268" s="9">
        <f>D268-1.5</f>
        <v/>
      </c>
      <c r="G268" s="25" t="n">
        <v>73.94</v>
      </c>
      <c r="H268" s="6">
        <f>IF(OR(K268&gt;E268,K268&lt;F268),"FAIL","PASS")</f>
        <v/>
      </c>
      <c r="I268" s="7">
        <f>IF(G268&gt;300,G268-360-D268,G268-D268)</f>
        <v/>
      </c>
      <c r="J268" s="8">
        <f>IF(G268&gt;300,G268-360,0)</f>
        <v/>
      </c>
      <c r="K268" s="8">
        <f>IF(J268=0,G268,J268)</f>
        <v/>
      </c>
    </row>
    <row r="269" ht="15" customHeight="1">
      <c r="A269" s="12" t="n">
        <v>106</v>
      </c>
      <c r="B269" s="12" t="n">
        <v>243</v>
      </c>
      <c r="C269" s="12" t="n">
        <v>74</v>
      </c>
      <c r="D269" s="5" t="n">
        <v>76</v>
      </c>
      <c r="E269" s="9">
        <f>D269+1.5</f>
        <v/>
      </c>
      <c r="F269" s="9">
        <f>D269-1.5</f>
        <v/>
      </c>
      <c r="G269" s="25" t="n">
        <v>75.94</v>
      </c>
      <c r="H269" s="6">
        <f>IF(OR(K269&gt;E269,K269&lt;F269),"FAIL","PASS")</f>
        <v/>
      </c>
      <c r="I269" s="7">
        <f>IF(G269&gt;300,G269-360-D269,G269-D269)</f>
        <v/>
      </c>
      <c r="J269" s="8">
        <f>IF(G269&gt;300,G269-360,0)</f>
        <v/>
      </c>
      <c r="K269" s="8">
        <f>IF(J269=0,G269,J269)</f>
        <v/>
      </c>
    </row>
    <row r="270" ht="15" customHeight="1">
      <c r="A270" s="12" t="n">
        <v>105</v>
      </c>
      <c r="B270" s="15" t="n">
        <v>242</v>
      </c>
      <c r="C270" s="11" t="n">
        <v>272</v>
      </c>
      <c r="D270" s="5" t="n">
        <v>76.54000000000001</v>
      </c>
      <c r="E270" s="9">
        <f>D270+1.5</f>
        <v/>
      </c>
      <c r="F270" s="9">
        <f>D270-1.5</f>
        <v/>
      </c>
      <c r="G270" s="25" t="n">
        <v>76.36</v>
      </c>
      <c r="H270" s="6">
        <f>IF(OR(K270&gt;E270,K270&lt;F270),"FAIL","PASS")</f>
        <v/>
      </c>
      <c r="I270" s="7">
        <f>IF(G270&gt;300,G270-360-D270,G270-D270)</f>
        <v/>
      </c>
      <c r="J270" s="8">
        <f>IF(G270&gt;300,G270-360,0)</f>
        <v/>
      </c>
      <c r="K270" s="8">
        <f>IF(J270=0,G270,J270)</f>
        <v/>
      </c>
    </row>
    <row r="271" ht="15" customHeight="1">
      <c r="A271" s="12" t="n">
        <v>104</v>
      </c>
      <c r="B271" s="12" t="n">
        <v>240</v>
      </c>
      <c r="C271" s="12" t="n">
        <v>100</v>
      </c>
      <c r="D271" s="5" t="n">
        <v>78.87</v>
      </c>
      <c r="E271" s="9">
        <f>D271+1.5</f>
        <v/>
      </c>
      <c r="F271" s="9">
        <f>D271-1.5</f>
        <v/>
      </c>
      <c r="G271" s="25" t="n">
        <v>78.62</v>
      </c>
      <c r="H271" s="6">
        <f>IF(OR(K271&gt;E271,K271&lt;F271),"FAIL","PASS")</f>
        <v/>
      </c>
      <c r="I271" s="7">
        <f>IF(G271&gt;300,G271-360-D271,G271-D271)</f>
        <v/>
      </c>
      <c r="J271" s="8">
        <f>IF(G271&gt;300,G271-360,0)</f>
        <v/>
      </c>
      <c r="K271" s="8">
        <f>IF(J271=0,G271,J271)</f>
        <v/>
      </c>
    </row>
    <row r="272" ht="15" customHeight="1">
      <c r="A272" s="12" t="n">
        <v>103</v>
      </c>
      <c r="B272" s="12" t="n">
        <v>237</v>
      </c>
      <c r="C272" s="12" t="n">
        <v>289</v>
      </c>
      <c r="D272" s="5" t="n">
        <v>81.28</v>
      </c>
      <c r="E272" s="9">
        <f>D272+1.5</f>
        <v/>
      </c>
      <c r="F272" s="9">
        <f>D272-1.5</f>
        <v/>
      </c>
      <c r="G272" s="25" t="n">
        <v>81.09999999999999</v>
      </c>
      <c r="H272" s="6">
        <f>IF(OR(K272&gt;E272,K272&lt;F272),"FAIL","PASS")</f>
        <v/>
      </c>
      <c r="I272" s="7">
        <f>IF(G272&gt;300,G272-360-D272,G272-D272)</f>
        <v/>
      </c>
      <c r="J272" s="8">
        <f>IF(G272&gt;300,G272-360,0)</f>
        <v/>
      </c>
      <c r="K272" s="8">
        <f>IF(J272=0,G272,J272)</f>
        <v/>
      </c>
    </row>
    <row r="273" ht="15" customHeight="1">
      <c r="A273" s="12" t="n">
        <v>102</v>
      </c>
      <c r="B273" s="12" t="n">
        <v>235</v>
      </c>
      <c r="C273" s="12" t="n">
        <v>117</v>
      </c>
      <c r="D273" s="5" t="n">
        <v>83.73999999999999</v>
      </c>
      <c r="E273" s="9">
        <f>D273+1.5</f>
        <v/>
      </c>
      <c r="F273" s="9">
        <f>D273-1.5</f>
        <v/>
      </c>
      <c r="G273" s="25" t="n">
        <v>83.48999999999999</v>
      </c>
      <c r="H273" s="6">
        <f>IF(OR(K273&gt;E273,K273&lt;F273),"FAIL","PASS")</f>
        <v/>
      </c>
      <c r="I273" s="7">
        <f>IF(G273&gt;300,G273-360-D273,G273-D273)</f>
        <v/>
      </c>
      <c r="J273" s="8">
        <f>IF(G273&gt;300,G273-360,0)</f>
        <v/>
      </c>
      <c r="K273" s="8">
        <f>IF(J273=0,G273,J273)</f>
        <v/>
      </c>
    </row>
    <row r="274" ht="15" customHeight="1">
      <c r="A274" s="12" t="n">
        <v>101</v>
      </c>
      <c r="B274" s="12" t="n">
        <v>232</v>
      </c>
      <c r="C274" s="12" t="n">
        <v>305</v>
      </c>
      <c r="D274" s="5" t="n">
        <v>86.11</v>
      </c>
      <c r="E274" s="9">
        <f>D274+1.5</f>
        <v/>
      </c>
      <c r="F274" s="9">
        <f>D274-1.5</f>
        <v/>
      </c>
      <c r="G274" s="25" t="n">
        <v>85.90000000000001</v>
      </c>
      <c r="H274" s="6">
        <f>IF(OR(K274&gt;E274,K274&lt;F274),"FAIL","PASS")</f>
        <v/>
      </c>
      <c r="I274" s="7">
        <f>IF(G274&gt;300,G274-360-D274,G274-D274)</f>
        <v/>
      </c>
      <c r="J274" s="8">
        <f>IF(G274&gt;300,G274-360,0)</f>
        <v/>
      </c>
      <c r="K274" s="8">
        <f>IF(J274=0,G274,J274)</f>
        <v/>
      </c>
    </row>
    <row r="275" ht="15" customHeight="1">
      <c r="A275" s="12" t="n">
        <v>100</v>
      </c>
      <c r="B275" s="12" t="n">
        <v>230</v>
      </c>
      <c r="C275" s="12" t="n">
        <v>133</v>
      </c>
      <c r="D275" s="5" t="n">
        <v>88.62</v>
      </c>
      <c r="E275" s="9">
        <f>D275+1.5</f>
        <v/>
      </c>
      <c r="F275" s="9">
        <f>D275-1.5</f>
        <v/>
      </c>
      <c r="G275" s="25" t="n">
        <v>88.48</v>
      </c>
      <c r="H275" s="6">
        <f>IF(OR(K275&gt;E275,K275&lt;F275),"FAIL","PASS")</f>
        <v/>
      </c>
      <c r="I275" s="7">
        <f>IF(G275&gt;300,G275-360-D275,G275-D275)</f>
        <v/>
      </c>
      <c r="J275" s="8">
        <f>IF(G275&gt;300,G275-360,0)</f>
        <v/>
      </c>
      <c r="K275" s="8">
        <f>IF(J275=0,G275,J275)</f>
        <v/>
      </c>
    </row>
    <row r="276" ht="15" customHeight="1">
      <c r="A276" s="12" t="n">
        <v>99</v>
      </c>
      <c r="B276" s="12" t="n">
        <v>227</v>
      </c>
      <c r="C276" s="12" t="n">
        <v>322</v>
      </c>
      <c r="D276" s="5" t="n">
        <v>91.36</v>
      </c>
      <c r="E276" s="9">
        <f>D276+1.5</f>
        <v/>
      </c>
      <c r="F276" s="9">
        <f>D276-1.5</f>
        <v/>
      </c>
      <c r="G276" s="25" t="n">
        <v>91.23</v>
      </c>
      <c r="H276" s="6">
        <f>IF(OR(K276&gt;E276,K276&lt;F276),"FAIL","PASS")</f>
        <v/>
      </c>
      <c r="I276" s="7">
        <f>IF(G276&gt;300,G276-360-D276,G276-D276)</f>
        <v/>
      </c>
      <c r="J276" s="8">
        <f>IF(G276&gt;300,G276-360,0)</f>
        <v/>
      </c>
      <c r="K276" s="8">
        <f>IF(J276=0,G276,J276)</f>
        <v/>
      </c>
    </row>
    <row r="277" ht="15" customHeight="1">
      <c r="A277" s="12" t="n">
        <v>98</v>
      </c>
      <c r="B277" s="12" t="n">
        <v>225</v>
      </c>
      <c r="C277" s="12" t="n">
        <v>150</v>
      </c>
      <c r="D277" s="5" t="n">
        <v>94.2</v>
      </c>
      <c r="E277" s="9">
        <f>D277+1.5</f>
        <v/>
      </c>
      <c r="F277" s="9">
        <f>D277-1.5</f>
        <v/>
      </c>
      <c r="G277" s="25" t="n">
        <v>93.98999999999999</v>
      </c>
      <c r="H277" s="6">
        <f>IF(OR(K277&gt;E277,K277&lt;F277),"FAIL","PASS")</f>
        <v/>
      </c>
      <c r="I277" s="7">
        <f>IF(G277&gt;300,G277-360-D277,G277-D277)</f>
        <v/>
      </c>
      <c r="J277" s="8">
        <f>IF(G277&gt;300,G277-360,0)</f>
        <v/>
      </c>
      <c r="K277" s="8">
        <f>IF(J277=0,G277,J277)</f>
        <v/>
      </c>
    </row>
    <row r="278" ht="15" customHeight="1">
      <c r="A278" s="12" t="n">
        <v>97</v>
      </c>
      <c r="B278" s="12" t="n">
        <v>222</v>
      </c>
      <c r="C278" s="12" t="n">
        <v>338</v>
      </c>
      <c r="D278" s="5" t="n">
        <v>96.90000000000001</v>
      </c>
      <c r="E278" s="9">
        <f>D278+1.5</f>
        <v/>
      </c>
      <c r="F278" s="9">
        <f>D278-1.5</f>
        <v/>
      </c>
      <c r="G278" s="25" t="n">
        <v>96.66</v>
      </c>
      <c r="H278" s="6">
        <f>IF(OR(K278&gt;E278,K278&lt;F278),"FAIL","PASS")</f>
        <v/>
      </c>
      <c r="I278" s="7">
        <f>IF(G278&gt;300,G278-360-D278,G278-D278)</f>
        <v/>
      </c>
      <c r="J278" s="8">
        <f>IF(G278&gt;300,G278-360,0)</f>
        <v/>
      </c>
      <c r="K278" s="8">
        <f>IF(J278=0,G278,J278)</f>
        <v/>
      </c>
    </row>
    <row r="279" ht="15" customHeight="1">
      <c r="A279" s="12" t="n">
        <v>96</v>
      </c>
      <c r="B279" s="12" t="n">
        <v>220</v>
      </c>
      <c r="C279" s="12" t="n">
        <v>166</v>
      </c>
      <c r="D279" s="5" t="n">
        <v>99.62</v>
      </c>
      <c r="E279" s="9">
        <f>D279+1.5</f>
        <v/>
      </c>
      <c r="F279" s="9">
        <f>D279-1.5</f>
        <v/>
      </c>
      <c r="G279" s="25" t="n">
        <v>99.34999999999999</v>
      </c>
      <c r="H279" s="6">
        <f>IF(OR(K279&gt;E279,K279&lt;F279),"FAIL","PASS")</f>
        <v/>
      </c>
      <c r="I279" s="7">
        <f>IF(G279&gt;300,G279-360-D279,G279-D279)</f>
        <v/>
      </c>
      <c r="J279" s="8">
        <f>IF(G279&gt;300,G279-360,0)</f>
        <v/>
      </c>
      <c r="K279" s="8">
        <f>IF(J279=0,G279,J279)</f>
        <v/>
      </c>
    </row>
    <row r="280" ht="15" customHeight="1">
      <c r="A280" s="12" t="n">
        <v>95</v>
      </c>
      <c r="B280" s="12" t="n">
        <v>217</v>
      </c>
      <c r="C280" s="12" t="n">
        <v>355</v>
      </c>
      <c r="D280" s="5" t="n">
        <v>102.3</v>
      </c>
      <c r="E280" s="9">
        <f>D280+1.5</f>
        <v/>
      </c>
      <c r="F280" s="9">
        <f>D280-1.5</f>
        <v/>
      </c>
      <c r="G280" s="25" t="n">
        <v>101.77</v>
      </c>
      <c r="H280" s="6">
        <f>IF(OR(K280&gt;E280,K280&lt;F280),"FAIL","PASS")</f>
        <v/>
      </c>
      <c r="I280" s="7">
        <f>IF(G280&gt;300,G280-360-D280,G280-D280)</f>
        <v/>
      </c>
      <c r="J280" s="8">
        <f>IF(G280&gt;300,G280-360,0)</f>
        <v/>
      </c>
      <c r="K280" s="8">
        <f>IF(J280=0,G280,J280)</f>
        <v/>
      </c>
    </row>
    <row r="281" ht="15" customHeight="1">
      <c r="A281" s="12" t="n">
        <v>94</v>
      </c>
      <c r="B281" s="15" t="n">
        <v>215</v>
      </c>
      <c r="C281" s="12" t="n">
        <v>183</v>
      </c>
      <c r="D281" s="5" t="n">
        <v>104.97</v>
      </c>
      <c r="E281" s="9">
        <f>D281+1.5</f>
        <v/>
      </c>
      <c r="F281" s="9">
        <f>D281-1.5</f>
        <v/>
      </c>
      <c r="G281" s="25" t="n">
        <v>104.45</v>
      </c>
      <c r="H281" s="6">
        <f>IF(OR(K281&gt;E281,K281&lt;F281),"FAIL","PASS")</f>
        <v/>
      </c>
      <c r="I281" s="7">
        <f>IF(G281&gt;300,G281-360-D281,G281-D281)</f>
        <v/>
      </c>
      <c r="J281" s="8">
        <f>IF(G281&gt;300,G281-360,0)</f>
        <v/>
      </c>
      <c r="K281" s="8">
        <f>IF(J281=0,G281,J281)</f>
        <v/>
      </c>
    </row>
    <row r="282" ht="15" customHeight="1">
      <c r="A282" s="12" t="n">
        <v>93</v>
      </c>
      <c r="B282" s="12" t="n">
        <v>213</v>
      </c>
      <c r="C282" s="12" t="n">
        <v>11</v>
      </c>
      <c r="D282" s="5" t="n">
        <v>107.62</v>
      </c>
      <c r="E282" s="9">
        <f>D282+1.5</f>
        <v/>
      </c>
      <c r="F282" s="9">
        <f>D282-1.5</f>
        <v/>
      </c>
      <c r="G282" s="25" t="n">
        <v>107.16</v>
      </c>
      <c r="H282" s="6">
        <f>IF(OR(K282&gt;E282,K282&lt;F282),"FAIL","PASS")</f>
        <v/>
      </c>
      <c r="I282" s="7">
        <f>IF(G282&gt;300,G282-360-D282,G282-D282)</f>
        <v/>
      </c>
      <c r="J282" s="8">
        <f>IF(G282&gt;300,G282-360,0)</f>
        <v/>
      </c>
      <c r="K282" s="8">
        <f>IF(J282=0,G282,J282)</f>
        <v/>
      </c>
    </row>
    <row r="283" ht="15" customHeight="1">
      <c r="A283" s="12" t="n">
        <v>92</v>
      </c>
      <c r="B283" s="12" t="n">
        <v>210</v>
      </c>
      <c r="C283" s="12" t="n">
        <v>199</v>
      </c>
      <c r="D283" s="5" t="n">
        <v>110.26</v>
      </c>
      <c r="E283" s="9">
        <f>D283+1.5</f>
        <v/>
      </c>
      <c r="F283" s="9">
        <f>D283-1.5</f>
        <v/>
      </c>
      <c r="G283" s="25" t="n">
        <v>109.8</v>
      </c>
      <c r="H283" s="6">
        <f>IF(OR(K283&gt;E283,K283&lt;F283),"FAIL","PASS")</f>
        <v/>
      </c>
      <c r="I283" s="7">
        <f>IF(G283&gt;300,G283-360-D283,G283-D283)</f>
        <v/>
      </c>
      <c r="J283" s="8">
        <f>IF(G283&gt;300,G283-360,0)</f>
        <v/>
      </c>
      <c r="K283" s="8">
        <f>IF(J283=0,G283,J283)</f>
        <v/>
      </c>
    </row>
    <row r="284" ht="15" customHeight="1">
      <c r="A284" s="12" t="n">
        <v>91</v>
      </c>
      <c r="B284" s="12" t="n">
        <v>208</v>
      </c>
      <c r="C284" s="12" t="n">
        <v>28</v>
      </c>
      <c r="D284" s="5" t="n">
        <v>112.67</v>
      </c>
      <c r="E284" s="9">
        <f>D284+1.5</f>
        <v/>
      </c>
      <c r="F284" s="9">
        <f>D284-1.5</f>
        <v/>
      </c>
      <c r="G284" s="25" t="n">
        <v>112.17</v>
      </c>
      <c r="H284" s="6">
        <f>IF(OR(K284&gt;E284,K284&lt;F284),"FAIL","PASS")</f>
        <v/>
      </c>
      <c r="I284" s="7">
        <f>IF(G284&gt;300,G284-360-D284,G284-D284)</f>
        <v/>
      </c>
      <c r="J284" s="8">
        <f>IF(G284&gt;300,G284-360,0)</f>
        <v/>
      </c>
      <c r="K284" s="8">
        <f>IF(J284=0,G284,J284)</f>
        <v/>
      </c>
    </row>
    <row r="285" ht="15" customHeight="1">
      <c r="A285" s="12" t="n">
        <v>90</v>
      </c>
      <c r="B285" s="12" t="n">
        <v>207</v>
      </c>
      <c r="C285" s="12" t="n">
        <v>283</v>
      </c>
      <c r="D285" s="5" t="n">
        <v>113</v>
      </c>
      <c r="E285" s="9">
        <f>D285+1.5</f>
        <v/>
      </c>
      <c r="F285" s="9">
        <f>D285-1.5</f>
        <v/>
      </c>
      <c r="G285" s="25" t="n">
        <v>112.47</v>
      </c>
      <c r="H285" s="6">
        <f>IF(OR(K285&gt;E285,K285&lt;F285),"FAIL","PASS")</f>
        <v/>
      </c>
      <c r="I285" s="7">
        <f>IF(G285&gt;300,G285-360-D285,G285-D285)</f>
        <v/>
      </c>
      <c r="J285" s="8">
        <f>IF(G285&gt;300,G285-360,0)</f>
        <v/>
      </c>
      <c r="K285" s="8">
        <f>IF(J285=0,G285,J285)</f>
        <v/>
      </c>
    </row>
    <row r="286" ht="15" customHeight="1">
      <c r="A286" s="12" t="n">
        <v>89</v>
      </c>
      <c r="B286" s="12" t="n">
        <v>205</v>
      </c>
      <c r="C286" s="12" t="n">
        <v>216</v>
      </c>
      <c r="D286" s="5" t="n">
        <v>115.13</v>
      </c>
      <c r="E286" s="9">
        <f>D286+1.5</f>
        <v/>
      </c>
      <c r="F286" s="9">
        <f>D286-1.5</f>
        <v/>
      </c>
      <c r="G286" s="25" t="n">
        <v>114.58</v>
      </c>
      <c r="H286" s="6">
        <f>IF(OR(K286&gt;E286,K286&lt;F286),"FAIL","PASS")</f>
        <v/>
      </c>
      <c r="I286" s="7">
        <f>IF(G286&gt;300,G286-360-D286,G286-D286)</f>
        <v/>
      </c>
      <c r="J286" s="8">
        <f>IF(G286&gt;300,G286-360,0)</f>
        <v/>
      </c>
      <c r="K286" s="8">
        <f>IF(J286=0,G286,J286)</f>
        <v/>
      </c>
    </row>
    <row r="287" ht="15" customHeight="1">
      <c r="A287" s="12" t="n">
        <v>88</v>
      </c>
      <c r="B287" s="12" t="n">
        <v>203</v>
      </c>
      <c r="C287" s="12" t="n">
        <v>44</v>
      </c>
      <c r="D287" s="5" t="n">
        <v>117.51</v>
      </c>
      <c r="E287" s="9">
        <f>D287+1.5</f>
        <v/>
      </c>
      <c r="F287" s="9">
        <f>D287-1.5</f>
        <v/>
      </c>
      <c r="G287" s="25" t="n">
        <v>116.84</v>
      </c>
      <c r="H287" s="6">
        <f>IF(OR(K287&gt;E287,K287&lt;F287),"FAIL","PASS")</f>
        <v/>
      </c>
      <c r="I287" s="7">
        <f>IF(G287&gt;300,G287-360-D287,G287-D287)</f>
        <v/>
      </c>
      <c r="J287" s="8">
        <f>IF(G287&gt;300,G287-360,0)</f>
        <v/>
      </c>
      <c r="K287" s="8">
        <f>IF(J287=0,G287,J287)</f>
        <v/>
      </c>
    </row>
    <row r="288" ht="15" customHeight="1">
      <c r="A288" s="12" t="n">
        <v>87</v>
      </c>
      <c r="B288" s="12" t="n">
        <v>200</v>
      </c>
      <c r="C288" s="12" t="n">
        <v>252</v>
      </c>
      <c r="D288" s="5" t="n">
        <v>119.89</v>
      </c>
      <c r="E288" s="9">
        <f>D288+1.5</f>
        <v/>
      </c>
      <c r="F288" s="9">
        <f>D288-1.5</f>
        <v/>
      </c>
      <c r="G288" s="25" t="n">
        <v>119.11</v>
      </c>
      <c r="H288" s="6">
        <f>IF(OR(K288&gt;E288,K288&lt;F288),"FAIL","PASS")</f>
        <v/>
      </c>
      <c r="I288" s="7">
        <f>IF(G288&gt;300,G288-360-D288,G288-D288)</f>
        <v/>
      </c>
      <c r="J288" s="8">
        <f>IF(G288&gt;300,G288-360,0)</f>
        <v/>
      </c>
      <c r="K288" s="8">
        <f>IF(J288=0,G288,J288)</f>
        <v/>
      </c>
    </row>
    <row r="289" ht="15" customHeight="1">
      <c r="A289" s="12" t="n">
        <v>86</v>
      </c>
      <c r="B289" s="15" t="n">
        <v>198</v>
      </c>
      <c r="C289" s="12" t="n">
        <v>61</v>
      </c>
      <c r="D289" s="5" t="n">
        <v>122.28</v>
      </c>
      <c r="E289" s="9">
        <f>D289+1.5</f>
        <v/>
      </c>
      <c r="F289" s="9">
        <f>D289-1.5</f>
        <v/>
      </c>
      <c r="G289" s="25" t="n">
        <v>121.4</v>
      </c>
      <c r="H289" s="6">
        <f>IF(OR(K289&gt;E289,K289&lt;F289),"FAIL","PASS")</f>
        <v/>
      </c>
      <c r="I289" s="7">
        <f>IF(G289&gt;300,G289-360-D289,G289-D289)</f>
        <v/>
      </c>
      <c r="J289" s="8">
        <f>IF(G289&gt;300,G289-360,0)</f>
        <v/>
      </c>
      <c r="K289" s="8">
        <f>IF(J289=0,G289,J289)</f>
        <v/>
      </c>
    </row>
    <row r="290" ht="15" customHeight="1">
      <c r="A290" s="12" t="n">
        <v>85</v>
      </c>
      <c r="B290" s="12" t="n">
        <v>195</v>
      </c>
      <c r="C290" s="12" t="n">
        <v>249</v>
      </c>
      <c r="D290" s="5" t="n">
        <v>124.64</v>
      </c>
      <c r="E290" s="9">
        <f>D290+1.5</f>
        <v/>
      </c>
      <c r="F290" s="9">
        <f>D290-1.5</f>
        <v/>
      </c>
      <c r="G290" s="25" t="n">
        <v>123.73</v>
      </c>
      <c r="H290" s="6">
        <f>IF(OR(K290&gt;E290,K290&lt;F290),"FAIL","PASS")</f>
        <v/>
      </c>
      <c r="I290" s="7">
        <f>IF(G290&gt;300,G290-360-D290,G290-D290)</f>
        <v/>
      </c>
      <c r="J290" s="8">
        <f>IF(G290&gt;300,G290-360,0)</f>
        <v/>
      </c>
      <c r="K290" s="8">
        <f>IF(J290=0,G290,J290)</f>
        <v/>
      </c>
    </row>
    <row r="291" ht="15" customHeight="1">
      <c r="A291" s="12" t="n">
        <v>84</v>
      </c>
      <c r="B291" s="12" t="n">
        <v>193</v>
      </c>
      <c r="C291" s="12" t="n">
        <v>77</v>
      </c>
      <c r="D291" s="5" t="n">
        <v>126.99</v>
      </c>
      <c r="E291" s="9">
        <f>D291+1.5</f>
        <v/>
      </c>
      <c r="F291" s="9">
        <f>D291-1.5</f>
        <v/>
      </c>
      <c r="G291" s="25" t="n">
        <v>126.06</v>
      </c>
      <c r="H291" s="6">
        <f>IF(OR(K291&gt;E291,K291&lt;F291),"FAIL","PASS")</f>
        <v/>
      </c>
      <c r="I291" s="7">
        <f>IF(G291&gt;300,G291-360-D291,G291-D291)</f>
        <v/>
      </c>
      <c r="J291" s="8">
        <f>IF(G291&gt;300,G291-360,0)</f>
        <v/>
      </c>
      <c r="K291" s="8">
        <f>IF(J291=0,G291,J291)</f>
        <v/>
      </c>
    </row>
    <row r="292" ht="15" customHeight="1">
      <c r="A292" s="12" t="n">
        <v>83</v>
      </c>
      <c r="B292" s="12" t="n">
        <v>190</v>
      </c>
      <c r="C292" s="12" t="n">
        <v>265</v>
      </c>
      <c r="D292" s="5" t="n">
        <v>129.36</v>
      </c>
      <c r="E292" s="9">
        <f>D292+1.5</f>
        <v/>
      </c>
      <c r="F292" s="9">
        <f>D292-1.5</f>
        <v/>
      </c>
      <c r="G292" s="25" t="n">
        <v>128.44</v>
      </c>
      <c r="H292" s="6">
        <f>IF(OR(K292&gt;E292,K292&lt;F292),"FAIL","PASS")</f>
        <v/>
      </c>
      <c r="I292" s="7">
        <f>IF(G292&gt;300,G292-360-D292,G292-D292)</f>
        <v/>
      </c>
      <c r="J292" s="8">
        <f>IF(G292&gt;300,G292-360,0)</f>
        <v/>
      </c>
      <c r="K292" s="8">
        <f>IF(J292=0,G292,J292)</f>
        <v/>
      </c>
    </row>
    <row r="293" ht="15" customHeight="1">
      <c r="A293" s="12" t="n">
        <v>82</v>
      </c>
      <c r="B293" s="12" t="n">
        <v>188</v>
      </c>
      <c r="C293" s="12" t="n">
        <v>93</v>
      </c>
      <c r="D293" s="5" t="n">
        <v>131.75</v>
      </c>
      <c r="E293" s="9">
        <f>D293+1.5</f>
        <v/>
      </c>
      <c r="F293" s="9">
        <f>D293-1.5</f>
        <v/>
      </c>
      <c r="G293" s="25" t="n">
        <v>130.84</v>
      </c>
      <c r="H293" s="6">
        <f>IF(OR(K293&gt;E293,K293&lt;F293),"FAIL","PASS")</f>
        <v/>
      </c>
      <c r="I293" s="7">
        <f>IF(G293&gt;300,G293-360-D293,G293-D293)</f>
        <v/>
      </c>
      <c r="J293" s="8">
        <f>IF(G293&gt;300,G293-360,0)</f>
        <v/>
      </c>
      <c r="K293" s="8">
        <f>IF(J293=0,G293,J293)</f>
        <v/>
      </c>
    </row>
    <row r="294" ht="15" customHeight="1">
      <c r="A294" s="12" t="n">
        <v>81</v>
      </c>
      <c r="B294" s="12" t="n">
        <v>185</v>
      </c>
      <c r="C294" s="12" t="n">
        <v>282</v>
      </c>
      <c r="D294" s="5" t="n">
        <v>134.13</v>
      </c>
      <c r="E294" s="9">
        <f>D294+1.5</f>
        <v/>
      </c>
      <c r="F294" s="9">
        <f>D294-1.5</f>
        <v/>
      </c>
      <c r="G294" s="25" t="n">
        <v>133.24</v>
      </c>
      <c r="H294" s="6">
        <f>IF(OR(K294&gt;E294,K294&lt;F294),"FAIL","PASS")</f>
        <v/>
      </c>
      <c r="I294" s="7">
        <f>IF(G294&gt;300,G294-360-D294,G294-D294)</f>
        <v/>
      </c>
      <c r="J294" s="8">
        <f>IF(G294&gt;300,G294-360,0)</f>
        <v/>
      </c>
      <c r="K294" s="8">
        <f>IF(J294=0,G294,J294)</f>
        <v/>
      </c>
    </row>
    <row r="295" ht="15" customHeight="1">
      <c r="A295" s="11" t="n">
        <v>80</v>
      </c>
      <c r="B295" s="12" t="n">
        <v>183</v>
      </c>
      <c r="C295" s="12" t="n">
        <v>110</v>
      </c>
      <c r="D295" s="5" t="n">
        <v>136.5</v>
      </c>
      <c r="E295" s="9">
        <f>D295+1.5</f>
        <v/>
      </c>
      <c r="F295" s="9">
        <f>D295-1.5</f>
        <v/>
      </c>
      <c r="G295" s="25" t="n">
        <v>135.6</v>
      </c>
      <c r="H295" s="6">
        <f>IF(OR(K295&gt;E295,K295&lt;F295),"FAIL","PASS")</f>
        <v/>
      </c>
      <c r="I295" s="7">
        <f>IF(G295&gt;300,G295-360-D295,G295-D295)</f>
        <v/>
      </c>
      <c r="J295" s="8">
        <f>IF(G295&gt;300,G295-360,0)</f>
        <v/>
      </c>
      <c r="K295" s="8">
        <f>IF(J295=0,G295,J295)</f>
        <v/>
      </c>
    </row>
    <row r="296" ht="15" customHeight="1">
      <c r="A296" s="12" t="n">
        <v>79</v>
      </c>
      <c r="B296" s="12" t="n">
        <v>180</v>
      </c>
      <c r="C296" s="12" t="n">
        <v>298</v>
      </c>
      <c r="D296" s="5" t="n">
        <v>138.85</v>
      </c>
      <c r="E296" s="9">
        <f>D296+1.5</f>
        <v/>
      </c>
      <c r="F296" s="9">
        <f>D296-1.5</f>
        <v/>
      </c>
      <c r="G296" s="25" t="n">
        <v>137.96</v>
      </c>
      <c r="H296" s="6">
        <f>IF(OR(K296&gt;E296,K296&lt;F296),"FAIL","PASS")</f>
        <v/>
      </c>
      <c r="I296" s="7">
        <f>IF(G296&gt;300,G296-360-D296,G296-D296)</f>
        <v/>
      </c>
      <c r="J296" s="8">
        <f>IF(G296&gt;300,G296-360,0)</f>
        <v/>
      </c>
      <c r="K296" s="8">
        <f>IF(J296=0,G296,J296)</f>
        <v/>
      </c>
    </row>
    <row r="297" ht="15" customHeight="1">
      <c r="A297" s="12" t="n">
        <v>78</v>
      </c>
      <c r="B297" s="12" t="n">
        <v>178</v>
      </c>
      <c r="C297" s="12" t="n">
        <v>126</v>
      </c>
      <c r="D297" s="5" t="n">
        <v>141.15</v>
      </c>
      <c r="E297" s="9">
        <f>D297+1.5</f>
        <v/>
      </c>
      <c r="F297" s="9">
        <f>D297-1.5</f>
        <v/>
      </c>
      <c r="G297" s="25" t="n">
        <v>140.39</v>
      </c>
      <c r="H297" s="6">
        <f>IF(OR(K297&gt;E297,K297&lt;F297),"FAIL","PASS")</f>
        <v/>
      </c>
      <c r="I297" s="7">
        <f>IF(G297&gt;300,G297-360-D297,G297-D297)</f>
        <v/>
      </c>
      <c r="J297" s="8">
        <f>IF(G297&gt;300,G297-360,0)</f>
        <v/>
      </c>
      <c r="K297" s="8">
        <f>IF(J297=0,G297,J297)</f>
        <v/>
      </c>
    </row>
    <row r="298" ht="15" customHeight="1">
      <c r="A298" s="12" t="n">
        <v>77</v>
      </c>
      <c r="B298" s="12" t="n">
        <v>175</v>
      </c>
      <c r="C298" s="12" t="n">
        <v>315</v>
      </c>
      <c r="D298" s="5" t="n">
        <v>143.48</v>
      </c>
      <c r="E298" s="9">
        <f>D298+1.5</f>
        <v/>
      </c>
      <c r="F298" s="9">
        <f>D298-1.5</f>
        <v/>
      </c>
      <c r="G298" s="25" t="n">
        <v>142.63</v>
      </c>
      <c r="H298" s="6">
        <f>IF(OR(K298&gt;E298,K298&lt;F298),"FAIL","PASS")</f>
        <v/>
      </c>
      <c r="I298" s="7">
        <f>IF(G298&gt;300,G298-360-D298,G298-D298)</f>
        <v/>
      </c>
      <c r="J298" s="8">
        <f>IF(G298&gt;300,G298-360,0)</f>
        <v/>
      </c>
      <c r="K298" s="8">
        <f>IF(J298=0,G298,J298)</f>
        <v/>
      </c>
    </row>
    <row r="299" ht="15" customHeight="1">
      <c r="A299" s="12" t="n">
        <v>76</v>
      </c>
      <c r="B299" s="12" t="n">
        <v>173</v>
      </c>
      <c r="C299" s="12" t="n">
        <v>143</v>
      </c>
      <c r="D299" s="5" t="n">
        <v>145.83</v>
      </c>
      <c r="E299" s="9">
        <f>D299+1.5</f>
        <v/>
      </c>
      <c r="F299" s="9">
        <f>D299-1.5</f>
        <v/>
      </c>
      <c r="G299" s="25" t="n">
        <v>145.05</v>
      </c>
      <c r="H299" s="6">
        <f>IF(OR(K299&gt;E299,K299&lt;F299),"FAIL","PASS")</f>
        <v/>
      </c>
      <c r="I299" s="7">
        <f>IF(G299&gt;300,G299-360-D299,G299-D299)</f>
        <v/>
      </c>
      <c r="J299" s="8">
        <f>IF(G299&gt;300,G299-360,0)</f>
        <v/>
      </c>
      <c r="K299" s="8">
        <f>IF(J299=0,G299,J299)</f>
        <v/>
      </c>
    </row>
    <row r="300" ht="15" customHeight="1">
      <c r="A300" s="12" t="n">
        <v>75</v>
      </c>
      <c r="B300" s="12" t="n">
        <v>170</v>
      </c>
      <c r="C300" s="12" t="n">
        <v>331</v>
      </c>
      <c r="D300" s="5" t="n">
        <v>148.18</v>
      </c>
      <c r="E300" s="9">
        <f>D300+1.5</f>
        <v/>
      </c>
      <c r="F300" s="9">
        <f>D300-1.5</f>
        <v/>
      </c>
      <c r="G300" s="25" t="n">
        <v>147.37</v>
      </c>
      <c r="H300" s="6">
        <f>IF(OR(K300&gt;E300,K300&lt;F300),"FAIL","PASS")</f>
        <v/>
      </c>
      <c r="I300" s="7">
        <f>IF(G300&gt;300,G300-360-D300,G300-D300)</f>
        <v/>
      </c>
      <c r="J300" s="8">
        <f>IF(G300&gt;300,G300-360,0)</f>
        <v/>
      </c>
      <c r="K300" s="8">
        <f>IF(J300=0,G300,J300)</f>
        <v/>
      </c>
    </row>
    <row r="301" ht="15" customHeight="1">
      <c r="A301" s="12" t="n">
        <v>74</v>
      </c>
      <c r="B301" s="12" t="n">
        <v>168</v>
      </c>
      <c r="C301" s="12" t="n">
        <v>278</v>
      </c>
      <c r="D301" s="5" t="n">
        <v>150</v>
      </c>
      <c r="E301" s="9">
        <f>D301+1.5</f>
        <v/>
      </c>
      <c r="F301" s="9">
        <f>D301-1.5</f>
        <v/>
      </c>
      <c r="G301" s="25" t="n">
        <v>149.51</v>
      </c>
      <c r="H301" s="6">
        <f>IF(OR(K301&gt;E301,K301&lt;F301),"FAIL","PASS")</f>
        <v/>
      </c>
      <c r="I301" s="7">
        <f>IF(G301&gt;300,G301-360-D301,G301-D301)</f>
        <v/>
      </c>
      <c r="J301" s="8">
        <f>IF(G301&gt;300,G301-360,0)</f>
        <v/>
      </c>
      <c r="K301" s="8">
        <f>IF(J301=0,G301,J301)</f>
        <v/>
      </c>
    </row>
    <row r="302" ht="15" customHeight="1">
      <c r="A302" s="12" t="n">
        <v>73</v>
      </c>
      <c r="B302" s="12" t="n">
        <v>168</v>
      </c>
      <c r="C302" s="12" t="n">
        <v>159</v>
      </c>
      <c r="D302" s="5" t="n">
        <v>150.72</v>
      </c>
      <c r="E302" s="9">
        <f>D302+1.5</f>
        <v/>
      </c>
      <c r="F302" s="9">
        <f>D302-1.5</f>
        <v/>
      </c>
      <c r="G302" s="25" t="n">
        <v>149.88</v>
      </c>
      <c r="H302" s="6">
        <f>IF(OR(K302&gt;E302,K302&lt;F302),"FAIL","PASS")</f>
        <v/>
      </c>
      <c r="I302" s="7">
        <f>IF(G302&gt;300,G302-360-D302,G302-D302)</f>
        <v/>
      </c>
      <c r="J302" s="8">
        <f>IF(G302&gt;300,G302-360,0)</f>
        <v/>
      </c>
      <c r="K302" s="8">
        <f>IF(J302=0,G302,J302)</f>
        <v/>
      </c>
    </row>
    <row r="303" ht="15" customHeight="1">
      <c r="A303" s="12" t="n">
        <v>72</v>
      </c>
      <c r="B303" s="12" t="n">
        <v>165</v>
      </c>
      <c r="C303" s="12" t="n">
        <v>348</v>
      </c>
      <c r="D303" s="5" t="n">
        <v>153.57</v>
      </c>
      <c r="E303" s="9">
        <f>D303+1.5</f>
        <v/>
      </c>
      <c r="F303" s="9">
        <f>D303-1.5</f>
        <v/>
      </c>
      <c r="G303" s="25" t="n">
        <v>152.79</v>
      </c>
      <c r="H303" s="6">
        <f>IF(OR(K303&gt;E303,K303&lt;F303),"FAIL","PASS")</f>
        <v/>
      </c>
      <c r="I303" s="7">
        <f>IF(G303&gt;300,G303-360-D303,G303-D303)</f>
        <v/>
      </c>
      <c r="J303" s="8">
        <f>IF(G303&gt;300,G303-360,0)</f>
        <v/>
      </c>
      <c r="K303" s="8">
        <f>IF(J303=0,G303,J303)</f>
        <v/>
      </c>
    </row>
    <row r="304" ht="15" customHeight="1">
      <c r="A304" s="12" t="n">
        <v>71</v>
      </c>
      <c r="B304" s="12" t="n">
        <v>163</v>
      </c>
      <c r="C304" s="12" t="n">
        <v>176</v>
      </c>
      <c r="D304" s="5" t="n">
        <v>156.46</v>
      </c>
      <c r="E304" s="9">
        <f>D304+1.5</f>
        <v/>
      </c>
      <c r="F304" s="9">
        <f>D304-1.5</f>
        <v/>
      </c>
      <c r="G304" s="25" t="n">
        <v>155.68</v>
      </c>
      <c r="H304" s="6">
        <f>IF(OR(K304&gt;E304,K304&lt;F304),"FAIL","PASS")</f>
        <v/>
      </c>
      <c r="I304" s="7">
        <f>IF(G304&gt;300,G304-360-D304,G304-D304)</f>
        <v/>
      </c>
      <c r="J304" s="8">
        <f>IF(G304&gt;300,G304-360,0)</f>
        <v/>
      </c>
      <c r="K304" s="8">
        <f>IF(J304=0,G304,J304)</f>
        <v/>
      </c>
    </row>
    <row r="305" ht="15" customHeight="1">
      <c r="A305" s="12" t="n">
        <v>70</v>
      </c>
      <c r="B305" s="12" t="n">
        <v>161</v>
      </c>
      <c r="C305" s="12" t="n">
        <v>4</v>
      </c>
      <c r="D305" s="5" t="n">
        <v>159.31</v>
      </c>
      <c r="E305" s="9">
        <f>D305+1.5</f>
        <v/>
      </c>
      <c r="F305" s="9">
        <f>D305-1.5</f>
        <v/>
      </c>
      <c r="G305" s="25" t="n">
        <v>158.56</v>
      </c>
      <c r="H305" s="6">
        <f>IF(OR(K305&gt;E305,K305&lt;F305),"FAIL","PASS")</f>
        <v/>
      </c>
      <c r="I305" s="7">
        <f>IF(G305&gt;300,G305-360-D305,G305-D305)</f>
        <v/>
      </c>
      <c r="J305" s="8">
        <f>IF(G305&gt;300,G305-360,0)</f>
        <v/>
      </c>
      <c r="K305" s="8">
        <f>IF(J305=0,G305,J305)</f>
        <v/>
      </c>
    </row>
    <row r="306" ht="15" customHeight="1">
      <c r="A306" s="12" t="n">
        <v>69</v>
      </c>
      <c r="B306" s="12" t="n">
        <v>158</v>
      </c>
      <c r="C306" s="12" t="n">
        <v>192</v>
      </c>
      <c r="D306" s="5" t="n">
        <v>162.15</v>
      </c>
      <c r="E306" s="9">
        <f>D306+1.5</f>
        <v/>
      </c>
      <c r="F306" s="9">
        <f>D306-1.5</f>
        <v/>
      </c>
      <c r="G306" s="25" t="n">
        <v>161.44</v>
      </c>
      <c r="H306" s="6">
        <f>IF(OR(K306&gt;E306,K306&lt;F306),"FAIL","PASS")</f>
        <v/>
      </c>
      <c r="I306" s="7">
        <f>IF(G306&gt;300,G306-360-D306,G306-D306)</f>
        <v/>
      </c>
      <c r="J306" s="8">
        <f>IF(G306&gt;300,G306-360,0)</f>
        <v/>
      </c>
      <c r="K306" s="8">
        <f>IF(J306=0,G306,J306)</f>
        <v/>
      </c>
    </row>
    <row r="307" ht="15" customHeight="1">
      <c r="A307" s="12" t="n">
        <v>68</v>
      </c>
      <c r="B307" s="12" t="n">
        <v>156</v>
      </c>
      <c r="C307" s="12" t="n">
        <v>21</v>
      </c>
      <c r="D307" s="5" t="n">
        <v>164.95</v>
      </c>
      <c r="E307" s="9">
        <f>D307+1.5</f>
        <v/>
      </c>
      <c r="F307" s="9">
        <f>D307-1.5</f>
        <v/>
      </c>
      <c r="G307" s="25" t="n">
        <v>164.31</v>
      </c>
      <c r="H307" s="6">
        <f>IF(OR(K307&gt;E307,K307&lt;F307),"FAIL","PASS")</f>
        <v/>
      </c>
      <c r="I307" s="7">
        <f>IF(G307&gt;300,G307-360-D307,G307-D307)</f>
        <v/>
      </c>
      <c r="J307" s="8">
        <f>IF(G307&gt;300,G307-360,0)</f>
        <v/>
      </c>
      <c r="K307" s="8">
        <f>IF(J307=0,G307,J307)</f>
        <v/>
      </c>
    </row>
    <row r="308" ht="15" customHeight="1">
      <c r="A308" s="12" t="n">
        <v>67</v>
      </c>
      <c r="B308" s="12" t="n">
        <v>153</v>
      </c>
      <c r="C308" s="12" t="n">
        <v>209</v>
      </c>
      <c r="D308" s="5" t="n">
        <v>167.79</v>
      </c>
      <c r="E308" s="9">
        <f>D308+1.5</f>
        <v/>
      </c>
      <c r="F308" s="9">
        <f>D308-1.5</f>
        <v/>
      </c>
      <c r="G308" s="25" t="n">
        <v>167.19</v>
      </c>
      <c r="H308" s="6">
        <f>IF(OR(K308&gt;E308,K308&lt;F308),"FAIL","PASS")</f>
        <v/>
      </c>
      <c r="I308" s="7">
        <f>IF(G308&gt;300,G308-360-D308,G308-D308)</f>
        <v/>
      </c>
      <c r="J308" s="8">
        <f>IF(G308&gt;300,G308-360,0)</f>
        <v/>
      </c>
      <c r="K308" s="8">
        <f>IF(J308=0,G308,J308)</f>
        <v/>
      </c>
    </row>
    <row r="309" ht="15" customHeight="1">
      <c r="A309" s="12" t="n">
        <v>66</v>
      </c>
      <c r="B309" s="12" t="n">
        <v>151</v>
      </c>
      <c r="C309" s="12" t="n">
        <v>37</v>
      </c>
      <c r="D309" s="5" t="n">
        <v>170.84</v>
      </c>
      <c r="E309" s="9">
        <f>D309+1.5</f>
        <v/>
      </c>
      <c r="F309" s="9">
        <f>D309-1.5</f>
        <v/>
      </c>
      <c r="G309" s="25" t="n">
        <v>170.08</v>
      </c>
      <c r="H309" s="6">
        <f>IF(OR(K309&gt;E309,K309&lt;F309),"FAIL","PASS")</f>
        <v/>
      </c>
      <c r="I309" s="7">
        <f>IF(G309&gt;300,G309-360-D309,G309-D309)</f>
        <v/>
      </c>
      <c r="J309" s="8">
        <f>IF(G309&gt;300,G309-360,0)</f>
        <v/>
      </c>
      <c r="K309" s="8">
        <f>IF(J309=0,G309,J309)</f>
        <v/>
      </c>
    </row>
    <row r="310" ht="15" customHeight="1">
      <c r="A310" s="12" t="n">
        <v>65</v>
      </c>
      <c r="B310" s="12" t="n">
        <v>148</v>
      </c>
      <c r="C310" s="12" t="n">
        <v>225</v>
      </c>
      <c r="D310" s="5" t="n">
        <v>173.38</v>
      </c>
      <c r="E310" s="9">
        <f>D310+1.5</f>
        <v/>
      </c>
      <c r="F310" s="9">
        <f>D310-1.5</f>
        <v/>
      </c>
      <c r="G310" s="25" t="n">
        <v>172.83</v>
      </c>
      <c r="H310" s="6">
        <f>IF(OR(K310&gt;E310,K310&lt;F310),"FAIL","PASS")</f>
        <v/>
      </c>
      <c r="I310" s="7">
        <f>IF(G310&gt;300,G310-360-D310,G310-D310)</f>
        <v/>
      </c>
      <c r="J310" s="8">
        <f>IF(G310&gt;300,G310-360,0)</f>
        <v/>
      </c>
      <c r="K310" s="8">
        <f>IF(J310=0,G310,J310)</f>
        <v/>
      </c>
    </row>
    <row r="311" ht="15" customHeight="1">
      <c r="A311" s="12" t="n">
        <v>64</v>
      </c>
      <c r="B311" s="12" t="n">
        <v>146</v>
      </c>
      <c r="C311" s="12" t="n">
        <v>54</v>
      </c>
      <c r="D311" s="5" t="n">
        <v>176.13</v>
      </c>
      <c r="E311" s="9">
        <f>D311+1.5</f>
        <v/>
      </c>
      <c r="F311" s="9">
        <f>D311-1.5</f>
        <v/>
      </c>
      <c r="G311" s="25" t="n">
        <v>175.6</v>
      </c>
      <c r="H311" s="6">
        <f>IF(OR(K311&gt;E311,K311&lt;F311),"FAIL","PASS")</f>
        <v/>
      </c>
      <c r="I311" s="7">
        <f>IF(G311&gt;300,G311-360-D311,G311-D311)</f>
        <v/>
      </c>
      <c r="J311" s="8">
        <f>IF(G311&gt;300,G311-360,0)</f>
        <v/>
      </c>
      <c r="K311" s="8">
        <f>IF(J311=0,G311,J311)</f>
        <v/>
      </c>
    </row>
    <row r="312" ht="15" customHeight="1">
      <c r="A312" s="12" t="n">
        <v>63</v>
      </c>
      <c r="B312" s="12" t="n">
        <v>143</v>
      </c>
      <c r="C312" s="12" t="n">
        <v>242</v>
      </c>
      <c r="D312" s="5" t="n">
        <v>178.65</v>
      </c>
      <c r="E312" s="9">
        <f>D312+1.5</f>
        <v/>
      </c>
      <c r="F312" s="9">
        <f>D312-1.5</f>
        <v/>
      </c>
      <c r="G312" s="25" t="n">
        <v>178.04</v>
      </c>
      <c r="H312" s="6">
        <f>IF(OR(K312&gt;E312,K312&lt;F312),"FAIL","PASS")</f>
        <v/>
      </c>
      <c r="I312" s="7">
        <f>IF(G312&gt;300,G312-360-D312,G312-D312)</f>
        <v/>
      </c>
      <c r="J312" s="8">
        <f>IF(G312&gt;300,G312-360,0)</f>
        <v/>
      </c>
      <c r="K312" s="8">
        <f>IF(J312=0,G312,J312)</f>
        <v/>
      </c>
    </row>
    <row r="313" ht="15" customHeight="1">
      <c r="A313" s="12" t="n">
        <v>62</v>
      </c>
      <c r="B313" s="12" t="n">
        <v>142</v>
      </c>
      <c r="C313" s="12" t="n">
        <v>37</v>
      </c>
      <c r="D313" s="5" t="n">
        <v>180</v>
      </c>
      <c r="E313" s="9">
        <f>D313+1.5</f>
        <v/>
      </c>
      <c r="F313" s="9">
        <f>D313-1.5</f>
        <v/>
      </c>
      <c r="G313" s="25" t="n">
        <v>179.86</v>
      </c>
      <c r="H313" s="6">
        <f>IF(OR(K313&gt;E313,K313&lt;F313),"FAIL","PASS")</f>
        <v/>
      </c>
      <c r="I313" s="7">
        <f>IF(G313&gt;300,G313-360-D313,G313-D313)</f>
        <v/>
      </c>
      <c r="J313" s="8">
        <f>IF(G313&gt;300,G313-360,0)</f>
        <v/>
      </c>
      <c r="K313" s="8">
        <f>IF(J313=0,G313,J313)</f>
        <v/>
      </c>
    </row>
    <row r="314" ht="15" customHeight="1">
      <c r="A314" s="12" t="n">
        <v>61</v>
      </c>
      <c r="B314" s="12" t="n">
        <v>141</v>
      </c>
      <c r="C314" s="12" t="n">
        <v>70</v>
      </c>
      <c r="D314" s="5" t="n">
        <v>181.49</v>
      </c>
      <c r="E314" s="9">
        <f>D314+1.5</f>
        <v/>
      </c>
      <c r="F314" s="9">
        <f>D314-1.5</f>
        <v/>
      </c>
      <c r="G314" s="25" t="n">
        <v>180.94</v>
      </c>
      <c r="H314" s="6">
        <f>IF(OR(K314&gt;E314,K314&lt;F314),"FAIL","PASS")</f>
        <v/>
      </c>
      <c r="I314" s="7">
        <f>IF(G314&gt;300,G314-360-D314,G314-D314)</f>
        <v/>
      </c>
      <c r="J314" s="8">
        <f>IF(G314&gt;300,G314-360,0)</f>
        <v/>
      </c>
      <c r="K314" s="8">
        <f>IF(J314=0,G314,J314)</f>
        <v/>
      </c>
    </row>
    <row r="315" ht="15" customHeight="1">
      <c r="A315" s="12" t="n">
        <v>60</v>
      </c>
      <c r="B315" s="12" t="n">
        <v>138</v>
      </c>
      <c r="C315" s="11" t="n">
        <v>258</v>
      </c>
      <c r="D315" s="5" t="n">
        <v>184.37</v>
      </c>
      <c r="E315" s="9">
        <f>D315+1.5</f>
        <v/>
      </c>
      <c r="F315" s="9">
        <f>D315-1.5</f>
        <v/>
      </c>
      <c r="G315" s="25" t="n">
        <v>183.86</v>
      </c>
      <c r="H315" s="6">
        <f>IF(OR(K315&gt;E315,K315&lt;F315),"FAIL","PASS")</f>
        <v/>
      </c>
      <c r="I315" s="7">
        <f>IF(G315&gt;300,G315-360-D315,G315-D315)</f>
        <v/>
      </c>
      <c r="J315" s="8">
        <f>IF(G315&gt;300,G315-360,0)</f>
        <v/>
      </c>
      <c r="K315" s="8">
        <f>IF(J315=0,G315,J315)</f>
        <v/>
      </c>
    </row>
    <row r="316" ht="15" customHeight="1">
      <c r="A316" s="12" t="n">
        <v>59</v>
      </c>
      <c r="B316" s="12" t="n">
        <v>136</v>
      </c>
      <c r="C316" s="11" t="n">
        <v>87</v>
      </c>
      <c r="D316" s="5" t="n">
        <v>187.17</v>
      </c>
      <c r="E316" s="9">
        <f>D316+1.5</f>
        <v/>
      </c>
      <c r="F316" s="9">
        <f>D316-1.5</f>
        <v/>
      </c>
      <c r="G316" s="25" t="n">
        <v>186.59</v>
      </c>
      <c r="H316" s="6">
        <f>IF(OR(K316&gt;E316,K316&lt;F316),"FAIL","PASS")</f>
        <v/>
      </c>
      <c r="I316" s="7">
        <f>IF(G316&gt;300,G316-360-D316,G316-D316)</f>
        <v/>
      </c>
      <c r="J316" s="8">
        <f>IF(G316&gt;300,G316-360,0)</f>
        <v/>
      </c>
      <c r="K316" s="8">
        <f>IF(J316=0,G316,J316)</f>
        <v/>
      </c>
    </row>
    <row r="317" ht="15" customHeight="1">
      <c r="A317" s="12" t="n">
        <v>58</v>
      </c>
      <c r="B317" s="12" t="n">
        <v>133</v>
      </c>
      <c r="C317" s="11" t="n">
        <v>275</v>
      </c>
      <c r="D317" s="5" t="n">
        <v>189.96</v>
      </c>
      <c r="E317" s="9">
        <f>D317+1.5</f>
        <v/>
      </c>
      <c r="F317" s="9">
        <f>D317-1.5</f>
        <v/>
      </c>
      <c r="G317" s="25" t="n">
        <v>189.34</v>
      </c>
      <c r="H317" s="6">
        <f>IF(OR(K317&gt;E317,K317&lt;F317),"FAIL","PASS")</f>
        <v/>
      </c>
      <c r="I317" s="7">
        <f>IF(G317&gt;300,G317-360-D317,G317-D317)</f>
        <v/>
      </c>
      <c r="J317" s="8">
        <f>IF(G317&gt;300,G317-360,0)</f>
        <v/>
      </c>
      <c r="K317" s="8">
        <f>IF(J317=0,G317,J317)</f>
        <v/>
      </c>
    </row>
    <row r="318" ht="15" customHeight="1">
      <c r="A318" s="12" t="n">
        <v>57</v>
      </c>
      <c r="B318" s="12" t="n">
        <v>131</v>
      </c>
      <c r="C318" s="11" t="n">
        <v>103</v>
      </c>
      <c r="D318" s="5" t="n">
        <v>192.78</v>
      </c>
      <c r="E318" s="9">
        <f>D318+1.5</f>
        <v/>
      </c>
      <c r="F318" s="9">
        <f>D318-1.5</f>
        <v/>
      </c>
      <c r="G318" s="25" t="n">
        <v>192.11</v>
      </c>
      <c r="H318" s="6">
        <f>IF(OR(K318&gt;E318,K318&lt;F318),"FAIL","PASS")</f>
        <v/>
      </c>
      <c r="I318" s="7">
        <f>IF(G318&gt;300,G318-360-D318,G318-D318)</f>
        <v/>
      </c>
      <c r="J318" s="8">
        <f>IF(G318&gt;300,G318-360,0)</f>
        <v/>
      </c>
      <c r="K318" s="8">
        <f>IF(J318=0,G318,J318)</f>
        <v/>
      </c>
    </row>
    <row r="319" ht="15" customHeight="1">
      <c r="A319" s="12" t="n">
        <v>56</v>
      </c>
      <c r="B319" s="12" t="n">
        <v>128</v>
      </c>
      <c r="C319" s="11" t="n">
        <v>291</v>
      </c>
      <c r="D319" s="5" t="n">
        <v>195.56</v>
      </c>
      <c r="E319" s="9">
        <f>D319+1.5</f>
        <v/>
      </c>
      <c r="F319" s="9">
        <f>D319-1.5</f>
        <v/>
      </c>
      <c r="G319" s="25" t="n">
        <v>194.89</v>
      </c>
      <c r="H319" s="6">
        <f>IF(OR(K319&gt;E319,K319&lt;F319),"FAIL","PASS")</f>
        <v/>
      </c>
      <c r="I319" s="7">
        <f>IF(G319&gt;300,G319-360-D319,G319-D319)</f>
        <v/>
      </c>
      <c r="J319" s="8">
        <f>IF(G319&gt;300,G319-360,0)</f>
        <v/>
      </c>
      <c r="K319" s="8">
        <f>IF(J319=0,G319,J319)</f>
        <v/>
      </c>
    </row>
    <row r="320" ht="15" customHeight="1">
      <c r="A320" s="12" t="n">
        <v>55</v>
      </c>
      <c r="B320" s="12" t="n">
        <v>126</v>
      </c>
      <c r="C320" s="11" t="n">
        <v>120</v>
      </c>
      <c r="D320" s="5" t="n">
        <v>198.3</v>
      </c>
      <c r="E320" s="9">
        <f>D320+1.5</f>
        <v/>
      </c>
      <c r="F320" s="9">
        <f>D320-1.5</f>
        <v/>
      </c>
      <c r="G320" s="25" t="n">
        <v>197.77</v>
      </c>
      <c r="H320" s="6">
        <f>IF(OR(K320&gt;E320,K320&lt;F320),"FAIL","PASS")</f>
        <v/>
      </c>
      <c r="I320" s="7">
        <f>IF(G320&gt;300,G320-360-D320,G320-D320)</f>
        <v/>
      </c>
      <c r="J320" s="8">
        <f>IF(G320&gt;300,G320-360,0)</f>
        <v/>
      </c>
      <c r="K320" s="8">
        <f>IF(J320=0,G320,J320)</f>
        <v/>
      </c>
    </row>
    <row r="321" ht="15" customHeight="1">
      <c r="A321" s="12" t="n">
        <v>54</v>
      </c>
      <c r="B321" s="12" t="n">
        <v>123</v>
      </c>
      <c r="C321" s="11" t="n">
        <v>308</v>
      </c>
      <c r="D321" s="5" t="n">
        <v>201.06</v>
      </c>
      <c r="E321" s="9">
        <f>D321+1.5</f>
        <v/>
      </c>
      <c r="F321" s="9">
        <f>D321-1.5</f>
        <v/>
      </c>
      <c r="G321" s="25" t="n">
        <v>200.46</v>
      </c>
      <c r="H321" s="6">
        <f>IF(OR(K321&gt;E321,K321&lt;F321),"FAIL","PASS")</f>
        <v/>
      </c>
      <c r="I321" s="7">
        <f>IF(G321&gt;300,G321-360-D321,G321-D321)</f>
        <v/>
      </c>
      <c r="J321" s="8">
        <f>IF(G321&gt;300,G321-360,0)</f>
        <v/>
      </c>
      <c r="K321" s="8">
        <f>IF(J321=0,G321,J321)</f>
        <v/>
      </c>
    </row>
    <row r="322" ht="15" customHeight="1">
      <c r="A322" s="12" t="n">
        <v>53</v>
      </c>
      <c r="B322" s="12" t="n">
        <v>121</v>
      </c>
      <c r="C322" s="11" t="n">
        <v>136</v>
      </c>
      <c r="D322" s="5" t="n">
        <v>203.79</v>
      </c>
      <c r="E322" s="9">
        <f>D322+1.5</f>
        <v/>
      </c>
      <c r="F322" s="9">
        <f>D322-1.5</f>
        <v/>
      </c>
      <c r="G322" s="25" t="n">
        <v>203.16</v>
      </c>
      <c r="H322" s="6">
        <f>IF(OR(K322&gt;E322,K322&lt;F322),"FAIL","PASS")</f>
        <v/>
      </c>
      <c r="I322" s="7">
        <f>IF(G322&gt;300,G322-360-D322,G322-D322)</f>
        <v/>
      </c>
      <c r="J322" s="8">
        <f>IF(G322&gt;300,G322-360,0)</f>
        <v/>
      </c>
      <c r="K322" s="8">
        <f>IF(J322=0,G322,J322)</f>
        <v/>
      </c>
    </row>
    <row r="323" ht="15" customHeight="1">
      <c r="A323" s="12" t="n">
        <v>52</v>
      </c>
      <c r="B323" s="12" t="n">
        <v>118</v>
      </c>
      <c r="C323" s="11" t="n">
        <v>324</v>
      </c>
      <c r="D323" s="5" t="n">
        <v>206.5</v>
      </c>
      <c r="E323" s="9">
        <f>D323+1.5</f>
        <v/>
      </c>
      <c r="F323" s="9">
        <f>D323-1.5</f>
        <v/>
      </c>
      <c r="G323" s="25" t="n">
        <v>206.12</v>
      </c>
      <c r="H323" s="6">
        <f>IF(OR(K323&gt;E323,K323&lt;F323),"FAIL","PASS")</f>
        <v/>
      </c>
      <c r="I323" s="7">
        <f>IF(G323&gt;300,G323-360-D323,G323-D323)</f>
        <v/>
      </c>
      <c r="J323" s="8">
        <f>IF(G323&gt;300,G323-360,0)</f>
        <v/>
      </c>
      <c r="K323" s="8">
        <f>IF(J323=0,G323,J323)</f>
        <v/>
      </c>
    </row>
    <row r="324" ht="15" customHeight="1">
      <c r="A324" s="12" t="n">
        <v>51</v>
      </c>
      <c r="B324" s="12" t="n">
        <v>116</v>
      </c>
      <c r="C324" s="11" t="n">
        <v>153</v>
      </c>
      <c r="D324" s="5" t="n">
        <v>209.19</v>
      </c>
      <c r="E324" s="9">
        <f>D324+1.5</f>
        <v/>
      </c>
      <c r="F324" s="9">
        <f>D324-1.5</f>
        <v/>
      </c>
      <c r="G324" s="25" t="n">
        <v>208.82</v>
      </c>
      <c r="H324" s="6">
        <f>IF(OR(K324&gt;E324,K324&lt;F324),"FAIL","PASS")</f>
        <v/>
      </c>
      <c r="I324" s="7">
        <f>IF(G324&gt;300,G324-360-D324,G324-D324)</f>
        <v/>
      </c>
      <c r="J324" s="8">
        <f>IF(G324&gt;300,G324-360,0)</f>
        <v/>
      </c>
      <c r="K324" s="8">
        <f>IF(J324=0,G324,J324)</f>
        <v/>
      </c>
    </row>
    <row r="325" ht="15" customHeight="1">
      <c r="A325" s="12" t="n">
        <v>50</v>
      </c>
      <c r="B325" s="12" t="n">
        <v>115</v>
      </c>
      <c r="C325" s="11" t="n">
        <v>156</v>
      </c>
      <c r="D325" s="5" t="n">
        <v>210</v>
      </c>
      <c r="E325" s="9">
        <f>D325+1.5</f>
        <v/>
      </c>
      <c r="F325" s="9">
        <f>D325-1.5</f>
        <v/>
      </c>
      <c r="G325" s="25" t="n">
        <v>209.59</v>
      </c>
      <c r="H325" s="6">
        <f>IF(OR(K325&gt;E325,K325&lt;F325),"FAIL","PASS")</f>
        <v/>
      </c>
      <c r="I325" s="7">
        <f>IF(G325&gt;300,G325-360-D325,G325-D325)</f>
        <v/>
      </c>
      <c r="J325" s="8">
        <f>IF(G325&gt;300,G325-360,0)</f>
        <v/>
      </c>
      <c r="K325" s="8">
        <f>IF(J325=0,G325,J325)</f>
        <v/>
      </c>
    </row>
    <row r="326" ht="15" customHeight="1">
      <c r="A326" s="12" t="n">
        <v>49</v>
      </c>
      <c r="B326" s="12" t="n">
        <v>113</v>
      </c>
      <c r="C326" s="11" t="n">
        <v>341</v>
      </c>
      <c r="D326" s="5" t="n">
        <v>211.16</v>
      </c>
      <c r="E326" s="9">
        <f>D326+1.5</f>
        <v/>
      </c>
      <c r="F326" s="9">
        <f>D326-1.5</f>
        <v/>
      </c>
      <c r="G326" s="25" t="n">
        <v>210.67</v>
      </c>
      <c r="H326" s="6">
        <f>IF(OR(K326&gt;E326,K326&lt;F326),"FAIL","PASS")</f>
        <v/>
      </c>
      <c r="I326" s="7">
        <f>IF(G326&gt;300,G326-360-D326,G326-D326)</f>
        <v/>
      </c>
      <c r="J326" s="8">
        <f>IF(G326&gt;300,G326-360,0)</f>
        <v/>
      </c>
      <c r="K326" s="8">
        <f>IF(J326=0,G326,J326)</f>
        <v/>
      </c>
    </row>
    <row r="327" ht="15" customHeight="1">
      <c r="A327" s="12" t="n">
        <v>48</v>
      </c>
      <c r="B327" s="12" t="n">
        <v>111</v>
      </c>
      <c r="C327" s="11" t="n">
        <v>169</v>
      </c>
      <c r="D327" s="5" t="n">
        <v>212.8</v>
      </c>
      <c r="E327" s="9">
        <f>D327+1.5</f>
        <v/>
      </c>
      <c r="F327" s="9">
        <f>D327-1.5</f>
        <v/>
      </c>
      <c r="G327" s="25" t="n">
        <v>212.28</v>
      </c>
      <c r="H327" s="6">
        <f>IF(OR(K327&gt;E327,K327&lt;F327),"FAIL","PASS")</f>
        <v/>
      </c>
      <c r="I327" s="7">
        <f>IF(G327&gt;300,G327-360-D327,G327-D327)</f>
        <v/>
      </c>
      <c r="J327" s="8">
        <f>IF(G327&gt;300,G327-360,0)</f>
        <v/>
      </c>
      <c r="K327" s="8">
        <f>IF(J327=0,G327,J327)</f>
        <v/>
      </c>
    </row>
    <row r="328" ht="15" customHeight="1">
      <c r="A328" s="11" t="n">
        <v>47</v>
      </c>
      <c r="B328" s="12" t="n">
        <v>108</v>
      </c>
      <c r="C328" s="11" t="n">
        <v>357</v>
      </c>
      <c r="D328" s="5" t="n">
        <v>214.27</v>
      </c>
      <c r="E328" s="9">
        <f>D328+1.5</f>
        <v/>
      </c>
      <c r="F328" s="9">
        <f>D328-1.5</f>
        <v/>
      </c>
      <c r="G328" s="25" t="n">
        <v>213.5</v>
      </c>
      <c r="H328" s="6">
        <f>IF(OR(K328&gt;E328,K328&lt;F328),"FAIL","PASS")</f>
        <v/>
      </c>
      <c r="I328" s="7">
        <f>IF(G328&gt;300,G328-360-D328,G328-D328)</f>
        <v/>
      </c>
      <c r="J328" s="8">
        <f>IF(G328&gt;300,G328-360,0)</f>
        <v/>
      </c>
      <c r="K328" s="8">
        <f>IF(J328=0,G328,J328)</f>
        <v/>
      </c>
    </row>
    <row r="329" ht="15" customHeight="1">
      <c r="A329" s="12" t="n">
        <v>46</v>
      </c>
      <c r="B329" s="12" t="n">
        <v>106</v>
      </c>
      <c r="C329" s="11" t="n">
        <v>186</v>
      </c>
      <c r="D329" s="5" t="n">
        <v>215.78</v>
      </c>
      <c r="E329" s="9">
        <f>D329+1.5</f>
        <v/>
      </c>
      <c r="F329" s="9">
        <f>D329-1.5</f>
        <v/>
      </c>
      <c r="G329" s="25" t="n">
        <v>215.01</v>
      </c>
      <c r="H329" s="6">
        <f>IF(OR(K329&gt;E329,K329&lt;F329),"FAIL","PASS")</f>
        <v/>
      </c>
      <c r="I329" s="7">
        <f>IF(G329&gt;300,G329-360-D329,G329-D329)</f>
        <v/>
      </c>
      <c r="J329" s="8">
        <f>IF(G329&gt;300,G329-360,0)</f>
        <v/>
      </c>
      <c r="K329" s="8">
        <f>IF(J329=0,G329,J329)</f>
        <v/>
      </c>
    </row>
    <row r="330" ht="15" customHeight="1">
      <c r="A330" s="11" t="n">
        <v>45</v>
      </c>
      <c r="B330" s="12" t="n">
        <v>104</v>
      </c>
      <c r="C330" s="11" t="n">
        <v>1.4</v>
      </c>
      <c r="D330" s="16" t="n">
        <v>217.31</v>
      </c>
      <c r="E330" s="9">
        <f>D330+1.5</f>
        <v/>
      </c>
      <c r="F330" s="9">
        <f>D330-1.5</f>
        <v/>
      </c>
      <c r="G330" s="25" t="n">
        <v>216.52</v>
      </c>
      <c r="H330" s="6">
        <f>IF(OR(K330&gt;E330,K330&lt;F330),"FAIL","PASS")</f>
        <v/>
      </c>
      <c r="I330" s="7">
        <f>IF(G330&gt;300,G330-360-D330,G330-D330)</f>
        <v/>
      </c>
      <c r="J330" s="8">
        <f>IF(G330&gt;300,G330-360,0)</f>
        <v/>
      </c>
      <c r="K330" s="8">
        <f>IF(J330=0,G330,J330)</f>
        <v/>
      </c>
    </row>
    <row r="331" ht="15" customHeight="1">
      <c r="A331" s="11" t="n">
        <v>44</v>
      </c>
      <c r="B331" s="12" t="n">
        <v>101</v>
      </c>
      <c r="C331" s="11" t="n">
        <v>202</v>
      </c>
      <c r="D331" s="5" t="n">
        <v>218.86</v>
      </c>
      <c r="E331" s="9">
        <f>D331+1.5</f>
        <v/>
      </c>
      <c r="F331" s="9">
        <f>D331-1.5</f>
        <v/>
      </c>
      <c r="G331" s="25" t="n">
        <v>218.1</v>
      </c>
      <c r="H331" s="6">
        <f>IF(OR(K331&gt;E331,K331&lt;F331),"FAIL","PASS")</f>
        <v/>
      </c>
      <c r="I331" s="7">
        <f>IF(G331&gt;300,G331-360-D331,G331-D331)</f>
        <v/>
      </c>
      <c r="J331" s="8">
        <f>IF(G331&gt;300,G331-360,0)</f>
        <v/>
      </c>
      <c r="K331" s="8">
        <f>IF(J331=0,G331,J331)</f>
        <v/>
      </c>
    </row>
    <row r="332" ht="15" customHeight="1">
      <c r="A332" s="11" t="n">
        <v>43</v>
      </c>
      <c r="B332" s="12" t="n">
        <v>99</v>
      </c>
      <c r="C332" s="11" t="n">
        <v>30</v>
      </c>
      <c r="D332" s="5" t="n">
        <v>220.4</v>
      </c>
      <c r="E332" s="9">
        <f>D332+1.5</f>
        <v/>
      </c>
      <c r="F332" s="9">
        <f>D332-1.5</f>
        <v/>
      </c>
      <c r="G332" s="25" t="n">
        <v>219.62</v>
      </c>
      <c r="H332" s="6">
        <f>IF(OR(K332&gt;E332,K332&lt;F332),"FAIL","PASS")</f>
        <v/>
      </c>
      <c r="I332" s="7">
        <f>IF(G332&gt;300,G332-360-D332,G332-D332)</f>
        <v/>
      </c>
      <c r="J332" s="8">
        <f>IF(G332&gt;300,G332-360,0)</f>
        <v/>
      </c>
      <c r="K332" s="8">
        <f>IF(J332=0,G332,J332)</f>
        <v/>
      </c>
    </row>
    <row r="333" ht="15" customHeight="1">
      <c r="A333" s="12" t="n">
        <v>42</v>
      </c>
      <c r="B333" s="12" t="n">
        <v>96</v>
      </c>
      <c r="C333" s="11" t="n">
        <v>218</v>
      </c>
      <c r="D333" s="5" t="n">
        <v>221.91</v>
      </c>
      <c r="E333" s="9">
        <f>D333+1.5</f>
        <v/>
      </c>
      <c r="F333" s="9">
        <f>D333-1.5</f>
        <v/>
      </c>
      <c r="G333" s="25" t="n">
        <v>221.18</v>
      </c>
      <c r="H333" s="6">
        <f>IF(OR(K333&gt;E333,K333&lt;F333),"FAIL","PASS")</f>
        <v/>
      </c>
      <c r="I333" s="7">
        <f>IF(G333&gt;300,G333-360-D333,G333-D333)</f>
        <v/>
      </c>
      <c r="J333" s="8">
        <f>IF(G333&gt;300,G333-360,0)</f>
        <v/>
      </c>
      <c r="K333" s="8">
        <f>IF(J333=0,G333,J333)</f>
        <v/>
      </c>
    </row>
    <row r="334" ht="15" customHeight="1">
      <c r="A334" s="12" t="n">
        <v>41</v>
      </c>
      <c r="B334" s="12" t="n">
        <v>94</v>
      </c>
      <c r="C334" s="11" t="n">
        <v>47</v>
      </c>
      <c r="D334" s="5" t="n">
        <v>223.38</v>
      </c>
      <c r="E334" s="9">
        <f>D334+1.5</f>
        <v/>
      </c>
      <c r="F334" s="9">
        <f>D334-1.5</f>
        <v/>
      </c>
      <c r="G334" s="25" t="n">
        <v>222.61</v>
      </c>
      <c r="H334" s="6">
        <f>IF(OR(K334&gt;E334,K334&lt;F334),"FAIL","PASS")</f>
        <v/>
      </c>
      <c r="I334" s="7">
        <f>IF(G334&gt;300,G334-360-D334,G334-D334)</f>
        <v/>
      </c>
      <c r="J334" s="8">
        <f>IF(G334&gt;300,G334-360,0)</f>
        <v/>
      </c>
      <c r="K334" s="8">
        <f>IF(J334=0,G334,J334)</f>
        <v/>
      </c>
    </row>
    <row r="335" ht="15" customHeight="1">
      <c r="A335" s="12" t="n">
        <v>40</v>
      </c>
      <c r="B335" s="12" t="n">
        <v>91</v>
      </c>
      <c r="C335" s="11" t="n">
        <v>235</v>
      </c>
      <c r="D335" s="5" t="n">
        <v>224.79</v>
      </c>
      <c r="E335" s="9">
        <f>D335+1.5</f>
        <v/>
      </c>
      <c r="F335" s="9">
        <f>D335-1.5</f>
        <v/>
      </c>
      <c r="G335" s="25" t="n">
        <v>224.01</v>
      </c>
      <c r="H335" s="6">
        <f>IF(OR(K335&gt;E335,K335&lt;F335),"FAIL","PASS")</f>
        <v/>
      </c>
      <c r="I335" s="7">
        <f>IF(G335&gt;300,G335-360-D335,G335-D335)</f>
        <v/>
      </c>
      <c r="J335" s="8">
        <f>IF(G335&gt;300,G335-360,0)</f>
        <v/>
      </c>
      <c r="K335" s="8">
        <f>IF(J335=0,G335,J335)</f>
        <v/>
      </c>
    </row>
    <row r="336" ht="15" customHeight="1">
      <c r="A336" s="12" t="n">
        <v>39</v>
      </c>
      <c r="B336" s="12" t="n">
        <v>89</v>
      </c>
      <c r="C336" s="11" t="n">
        <v>63</v>
      </c>
      <c r="D336" s="5" t="n">
        <v>226.26</v>
      </c>
      <c r="E336" s="9">
        <f>D336+1.5</f>
        <v/>
      </c>
      <c r="F336" s="9">
        <f>D336-1.5</f>
        <v/>
      </c>
      <c r="G336" s="25" t="n">
        <v>225.51</v>
      </c>
      <c r="H336" s="6">
        <f>IF(OR(K336&gt;E336,K336&lt;F336),"FAIL","PASS")</f>
        <v/>
      </c>
      <c r="I336" s="7">
        <f>IF(G336&gt;300,G336-360-D336,G336-D336)</f>
        <v/>
      </c>
      <c r="J336" s="8">
        <f>IF(G336&gt;300,G336-360,0)</f>
        <v/>
      </c>
      <c r="K336" s="8">
        <f>IF(J336=0,G336,J336)</f>
        <v/>
      </c>
    </row>
    <row r="337" ht="15" customHeight="1">
      <c r="A337" s="12" t="n">
        <v>38</v>
      </c>
      <c r="B337" s="12" t="n">
        <v>86</v>
      </c>
      <c r="C337" s="11" t="n">
        <v>251</v>
      </c>
      <c r="D337" s="5" t="n">
        <v>227.7</v>
      </c>
      <c r="E337" s="9">
        <f>D337+1.5</f>
        <v/>
      </c>
      <c r="F337" s="9">
        <f>D337-1.5</f>
        <v/>
      </c>
      <c r="G337" s="25" t="n">
        <v>226.98</v>
      </c>
      <c r="H337" s="6">
        <f>IF(OR(K337&gt;E337,K337&lt;F337),"FAIL","PASS")</f>
        <v/>
      </c>
      <c r="I337" s="7">
        <f>IF(G337&gt;300,G337-360-D337,G337-D337)</f>
        <v/>
      </c>
      <c r="J337" s="8">
        <f>IF(G337&gt;300,G337-360,0)</f>
        <v/>
      </c>
      <c r="K337" s="8">
        <f>IF(J337=0,G337,J337)</f>
        <v/>
      </c>
    </row>
    <row r="338" ht="15" customHeight="1">
      <c r="A338" s="12" t="n">
        <v>37</v>
      </c>
      <c r="B338" s="12" t="n">
        <v>84</v>
      </c>
      <c r="C338" s="11" t="n">
        <v>80</v>
      </c>
      <c r="D338" s="5" t="n">
        <v>229.11</v>
      </c>
      <c r="E338" s="9">
        <f>D338+1.5</f>
        <v/>
      </c>
      <c r="F338" s="9">
        <f>D338-1.5</f>
        <v/>
      </c>
      <c r="G338" s="25" t="n">
        <v>228.4</v>
      </c>
      <c r="H338" s="6">
        <f>IF(OR(K338&gt;E338,K338&lt;F338),"FAIL","PASS")</f>
        <v/>
      </c>
      <c r="I338" s="7">
        <f>IF(G338&gt;300,G338-360-D338,G338-D338)</f>
        <v/>
      </c>
      <c r="J338" s="8">
        <f>IF(G338&gt;300,G338-360,0)</f>
        <v/>
      </c>
      <c r="K338" s="8">
        <f>IF(J338=0,G338,J338)</f>
        <v/>
      </c>
    </row>
    <row r="339" ht="15" customHeight="1">
      <c r="A339" s="12" t="n">
        <v>36</v>
      </c>
      <c r="B339" s="12" t="n">
        <v>81</v>
      </c>
      <c r="C339" s="11" t="n">
        <v>268</v>
      </c>
      <c r="D339" s="5" t="n">
        <v>230.53</v>
      </c>
      <c r="E339" s="9">
        <f>D339+1.5</f>
        <v/>
      </c>
      <c r="F339" s="9">
        <f>D339-1.5</f>
        <v/>
      </c>
      <c r="G339" s="25" t="n">
        <v>229.82</v>
      </c>
      <c r="H339" s="6">
        <f>IF(OR(K339&gt;E339,K339&lt;F339),"FAIL","PASS")</f>
        <v/>
      </c>
      <c r="I339" s="7">
        <f>IF(G339&gt;300,G339-360-D339,G339-D339)</f>
        <v/>
      </c>
      <c r="J339" s="8">
        <f>IF(G339&gt;300,G339-360,0)</f>
        <v/>
      </c>
      <c r="K339" s="8">
        <f>IF(J339=0,G339,J339)</f>
        <v/>
      </c>
    </row>
    <row r="340" ht="15" customHeight="1">
      <c r="A340" s="12" t="n">
        <v>35</v>
      </c>
      <c r="B340" s="12" t="n">
        <v>79</v>
      </c>
      <c r="C340" s="11" t="n">
        <v>96</v>
      </c>
      <c r="D340" s="5" t="n">
        <v>231.95</v>
      </c>
      <c r="E340" s="9">
        <f>D340+1.5</f>
        <v/>
      </c>
      <c r="F340" s="9">
        <f>D340-1.5</f>
        <v/>
      </c>
      <c r="G340" s="25" t="n">
        <v>231.24</v>
      </c>
      <c r="H340" s="6">
        <f>IF(OR(K340&gt;E340,K340&lt;F340),"FAIL","PASS")</f>
        <v/>
      </c>
      <c r="I340" s="7">
        <f>IF(G340&gt;300,G340-360-D340,G340-D340)</f>
        <v/>
      </c>
      <c r="J340" s="8">
        <f>IF(G340&gt;300,G340-360,0)</f>
        <v/>
      </c>
      <c r="K340" s="8">
        <f>IF(J340=0,G340,J340)</f>
        <v/>
      </c>
    </row>
    <row r="341" ht="15" customHeight="1">
      <c r="A341" s="11" t="n">
        <v>34</v>
      </c>
      <c r="B341" s="12" t="n">
        <v>76</v>
      </c>
      <c r="C341" s="11" t="n">
        <v>284</v>
      </c>
      <c r="D341" s="5" t="n">
        <v>233.37</v>
      </c>
      <c r="E341" s="9">
        <f>D341+1.5</f>
        <v/>
      </c>
      <c r="F341" s="9">
        <f>D341-1.5</f>
        <v/>
      </c>
      <c r="G341" s="25" t="n">
        <v>232.71</v>
      </c>
      <c r="H341" s="6">
        <f>IF(OR(K341&gt;E341,K341&lt;F341),"FAIL","PASS")</f>
        <v/>
      </c>
      <c r="I341" s="7">
        <f>IF(G341&gt;300,G341-360-D341,G341-D341)</f>
        <v/>
      </c>
      <c r="J341" s="8">
        <f>IF(G341&gt;300,G341-360,0)</f>
        <v/>
      </c>
      <c r="K341" s="8">
        <f>IF(J341=0,G341,J341)</f>
        <v/>
      </c>
    </row>
    <row r="342" ht="15" customHeight="1">
      <c r="A342" s="11" t="n">
        <v>33</v>
      </c>
      <c r="B342" s="12" t="n">
        <v>74</v>
      </c>
      <c r="C342" s="11" t="n">
        <v>113</v>
      </c>
      <c r="D342" s="5" t="n">
        <v>234.81</v>
      </c>
      <c r="E342" s="9">
        <f>D342+1.5</f>
        <v/>
      </c>
      <c r="F342" s="9">
        <f>D342-1.5</f>
        <v/>
      </c>
      <c r="G342" s="25" t="n">
        <v>234.1</v>
      </c>
      <c r="H342" s="6">
        <f>IF(OR(K342&gt;E342,K342&lt;F342),"FAIL","PASS")</f>
        <v/>
      </c>
      <c r="I342" s="7">
        <f>IF(G342&gt;300,G342-360-D342,G342-D342)</f>
        <v/>
      </c>
      <c r="J342" s="8">
        <f>IF(G342&gt;300,G342-360,0)</f>
        <v/>
      </c>
      <c r="K342" s="8">
        <f>IF(J342=0,G342,J342)</f>
        <v/>
      </c>
    </row>
    <row r="343" ht="15" customHeight="1">
      <c r="A343" s="12" t="n">
        <v>32</v>
      </c>
      <c r="B343" s="12" t="n">
        <v>71</v>
      </c>
      <c r="C343" s="11" t="n">
        <v>301</v>
      </c>
      <c r="D343" s="5" t="n">
        <v>236.24</v>
      </c>
      <c r="E343" s="9">
        <f>D343+1.5</f>
        <v/>
      </c>
      <c r="F343" s="9">
        <f>D343-1.5</f>
        <v/>
      </c>
      <c r="G343" s="25" t="n">
        <v>235.49</v>
      </c>
      <c r="H343" s="6">
        <f>IF(OR(K343&gt;E343,K343&lt;F343),"FAIL","PASS")</f>
        <v/>
      </c>
      <c r="I343" s="7">
        <f>IF(G343&gt;300,G343-360-D343,G343-D343)</f>
        <v/>
      </c>
      <c r="J343" s="8">
        <f>IF(G343&gt;300,G343-360,0)</f>
        <v/>
      </c>
      <c r="K343" s="8">
        <f>IF(J343=0,G343,J343)</f>
        <v/>
      </c>
    </row>
    <row r="344" ht="15" customHeight="1">
      <c r="A344" s="12" t="n">
        <v>31</v>
      </c>
      <c r="B344" s="12" t="n">
        <v>69</v>
      </c>
      <c r="C344" s="11" t="n">
        <v>129</v>
      </c>
      <c r="D344" s="5" t="n">
        <v>237.65</v>
      </c>
      <c r="E344" s="9">
        <f>D344+1.5</f>
        <v/>
      </c>
      <c r="F344" s="9">
        <f>D344-1.5</f>
        <v/>
      </c>
      <c r="G344" s="25" t="n">
        <v>236.91</v>
      </c>
      <c r="H344" s="6">
        <f>IF(OR(K344&gt;E344,K344&lt;F344),"FAIL","PASS")</f>
        <v/>
      </c>
      <c r="I344" s="7">
        <f>IF(G344&gt;300,G344-360-D344,G344-D344)</f>
        <v/>
      </c>
      <c r="J344" s="8">
        <f>IF(G344&gt;300,G344-360,0)</f>
        <v/>
      </c>
      <c r="K344" s="8">
        <f>IF(J344=0,G344,J344)</f>
        <v/>
      </c>
    </row>
    <row r="345" ht="15" customHeight="1">
      <c r="A345" s="12" t="n">
        <v>30</v>
      </c>
      <c r="B345" s="12" t="n">
        <v>66</v>
      </c>
      <c r="C345" s="12" t="n">
        <v>317</v>
      </c>
      <c r="D345" s="5" t="n">
        <v>239.04</v>
      </c>
      <c r="E345" s="9">
        <f>D345+1.5</f>
        <v/>
      </c>
      <c r="F345" s="9">
        <f>D345-1.5</f>
        <v/>
      </c>
      <c r="G345" s="24" t="n">
        <v>238.3</v>
      </c>
      <c r="H345" s="6">
        <f>IF(OR(K345&gt;E345,K345&lt;F345),"FAIL","PASS")</f>
        <v/>
      </c>
      <c r="I345" s="7">
        <f>IF(G345&gt;300,G345-360-D345,G345-D345)</f>
        <v/>
      </c>
      <c r="J345" s="8">
        <f>IF(G345&gt;300,G345-360,0)</f>
        <v/>
      </c>
      <c r="K345" s="8">
        <f>IF(J345=0,G345,J345)</f>
        <v/>
      </c>
    </row>
    <row r="346" ht="15" customHeight="1">
      <c r="A346" s="12" t="n">
        <v>29</v>
      </c>
      <c r="B346" s="12" t="n">
        <v>64</v>
      </c>
      <c r="C346" s="12" t="n">
        <v>318</v>
      </c>
      <c r="D346" s="5" t="n">
        <v>240</v>
      </c>
      <c r="E346" s="9">
        <f>D346+1.5</f>
        <v/>
      </c>
      <c r="F346" s="9">
        <f>D346-1.5</f>
        <v/>
      </c>
      <c r="G346" s="24" t="n">
        <v>239.49</v>
      </c>
      <c r="H346" s="6">
        <f>IF(OR(K346&gt;E346,K346&lt;F346),"FAIL","PASS")</f>
        <v/>
      </c>
      <c r="I346" s="7">
        <f>IF(G346&gt;300,G346-360-D346,G346-D346)</f>
        <v/>
      </c>
      <c r="J346" s="8">
        <f>IF(G346&gt;300,G346-360,0)</f>
        <v/>
      </c>
      <c r="K346" s="8">
        <f>IF(J346=0,G346,J346)</f>
        <v/>
      </c>
    </row>
    <row r="347" ht="15" customHeight="1">
      <c r="A347" s="12" t="n">
        <v>28</v>
      </c>
      <c r="B347" s="12" t="n">
        <v>64</v>
      </c>
      <c r="C347" s="12" t="n">
        <v>146</v>
      </c>
      <c r="D347" s="5" t="n">
        <v>240.49</v>
      </c>
      <c r="E347" s="9">
        <f>D347+1.5</f>
        <v/>
      </c>
      <c r="F347" s="9">
        <f>D347-1.5</f>
        <v/>
      </c>
      <c r="G347" s="24" t="n">
        <v>239.78</v>
      </c>
      <c r="H347" s="6">
        <f>IF(OR(K347&gt;E347,K347&lt;F347),"FAIL","PASS")</f>
        <v/>
      </c>
      <c r="I347" s="7">
        <f>IF(G347&gt;300,G347-360-D347,G347-D347)</f>
        <v/>
      </c>
      <c r="J347" s="8">
        <f>IF(G347&gt;300,G347-360,0)</f>
        <v/>
      </c>
      <c r="K347" s="8">
        <f>IF(J347=0,G347,J347)</f>
        <v/>
      </c>
    </row>
    <row r="348" ht="15" customHeight="1">
      <c r="A348" s="12" t="n">
        <v>27</v>
      </c>
      <c r="B348" s="12" t="n">
        <v>61</v>
      </c>
      <c r="C348" s="12" t="n">
        <v>334</v>
      </c>
      <c r="D348" s="5" t="n">
        <v>241.94</v>
      </c>
      <c r="E348" s="9">
        <f>D348+1.5</f>
        <v/>
      </c>
      <c r="F348" s="9">
        <f>D348-1.5</f>
        <v/>
      </c>
      <c r="G348" s="24" t="n">
        <v>241.31</v>
      </c>
      <c r="H348" s="6">
        <f>IF(OR(K348&gt;E348,K348&lt;F348),"FAIL","PASS")</f>
        <v/>
      </c>
      <c r="I348" s="7">
        <f>IF(G348&gt;300,G348-360-D348,G348-D348)</f>
        <v/>
      </c>
      <c r="J348" s="8">
        <f>IF(G348&gt;300,G348-360,0)</f>
        <v/>
      </c>
      <c r="K348" s="8">
        <f>IF(J348=0,G348,J348)</f>
        <v/>
      </c>
    </row>
    <row r="349" ht="15" customHeight="1">
      <c r="A349" s="12" t="n">
        <v>26</v>
      </c>
      <c r="B349" s="12" t="n">
        <v>59</v>
      </c>
      <c r="C349" s="12" t="n">
        <v>162</v>
      </c>
      <c r="D349" s="5" t="n">
        <v>243.35</v>
      </c>
      <c r="E349" s="9">
        <f>D349+1.5</f>
        <v/>
      </c>
      <c r="F349" s="9">
        <f>D349-1.5</f>
        <v/>
      </c>
      <c r="G349" s="24" t="n">
        <v>242.79</v>
      </c>
      <c r="H349" s="6">
        <f>IF(OR(K349&gt;E349,K349&lt;F349),"FAIL","PASS")</f>
        <v/>
      </c>
      <c r="I349" s="7">
        <f>IF(G349&gt;300,G349-360-D349,G349-D349)</f>
        <v/>
      </c>
      <c r="J349" s="8">
        <f>IF(G349&gt;300,G349-360,0)</f>
        <v/>
      </c>
      <c r="K349" s="8">
        <f>IF(J349=0,G349,J349)</f>
        <v/>
      </c>
    </row>
    <row r="350" ht="15" customHeight="1">
      <c r="A350" s="12" t="n">
        <v>25</v>
      </c>
      <c r="B350" s="11" t="n">
        <v>56</v>
      </c>
      <c r="C350" s="12" t="n">
        <v>350</v>
      </c>
      <c r="D350" s="5" t="n">
        <v>244.8</v>
      </c>
      <c r="E350" s="9">
        <f>D350+1.5</f>
        <v/>
      </c>
      <c r="F350" s="9">
        <f>D350-1.5</f>
        <v/>
      </c>
      <c r="G350" s="24" t="n">
        <v>244.35</v>
      </c>
      <c r="H350" s="6">
        <f>IF(OR(K350&gt;E350,K350&lt;F350),"FAIL","PASS")</f>
        <v/>
      </c>
      <c r="I350" s="7">
        <f>IF(G350&gt;300,G350-360-D350,G350-D350)</f>
        <v/>
      </c>
      <c r="J350" s="8">
        <f>IF(G350&gt;300,G350-360,0)</f>
        <v/>
      </c>
      <c r="K350" s="8">
        <f>IF(J350=0,G350,J350)</f>
        <v/>
      </c>
    </row>
    <row r="351" ht="15" customHeight="1">
      <c r="A351" s="12" t="n">
        <v>24</v>
      </c>
      <c r="B351" s="15" t="n">
        <v>54</v>
      </c>
      <c r="C351" s="12" t="n">
        <v>179</v>
      </c>
      <c r="D351" s="5" t="n">
        <v>246.28</v>
      </c>
      <c r="E351" s="9">
        <f>D351+1.5</f>
        <v/>
      </c>
      <c r="F351" s="9">
        <f>D351-1.5</f>
        <v/>
      </c>
      <c r="G351" s="24" t="n">
        <v>245.81</v>
      </c>
      <c r="H351" s="6">
        <f>IF(OR(K351&gt;E351,K351&lt;F351),"FAIL","PASS")</f>
        <v/>
      </c>
      <c r="I351" s="7">
        <f>IF(G351&gt;300,G351-360-D351,G351-D351)</f>
        <v/>
      </c>
      <c r="J351" s="8">
        <f>IF(G351&gt;300,G351-360,0)</f>
        <v/>
      </c>
      <c r="K351" s="8">
        <f>IF(J351=0,G351,J351)</f>
        <v/>
      </c>
    </row>
    <row r="352" ht="15" customHeight="1">
      <c r="A352" s="12" t="n">
        <v>23</v>
      </c>
      <c r="B352" s="12" t="n">
        <v>52</v>
      </c>
      <c r="C352" s="12" t="n">
        <v>7</v>
      </c>
      <c r="D352" s="5" t="n">
        <v>247.75</v>
      </c>
      <c r="E352" s="9">
        <f>D352+1.5</f>
        <v/>
      </c>
      <c r="F352" s="9">
        <f>D352-1.5</f>
        <v/>
      </c>
      <c r="G352" s="24" t="n">
        <v>247.36</v>
      </c>
      <c r="H352" s="6">
        <f>IF(OR(K352&gt;E352,K352&lt;F352),"FAIL","PASS")</f>
        <v/>
      </c>
      <c r="I352" s="7">
        <f>IF(G352&gt;300,G352-360-D352,G352-D352)</f>
        <v/>
      </c>
      <c r="J352" s="8">
        <f>IF(G352&gt;300,G352-360,0)</f>
        <v/>
      </c>
      <c r="K352" s="8">
        <f>IF(J352=0,G352,J352)</f>
        <v/>
      </c>
    </row>
    <row r="353" ht="15" customHeight="1">
      <c r="A353" s="12" t="n">
        <v>22</v>
      </c>
      <c r="B353" s="12" t="n">
        <v>49</v>
      </c>
      <c r="C353" s="12" t="n">
        <v>195</v>
      </c>
      <c r="D353" s="5" t="n">
        <v>249.25</v>
      </c>
      <c r="E353" s="9">
        <f>D353+1.5</f>
        <v/>
      </c>
      <c r="F353" s="9">
        <f>D353-1.5</f>
        <v/>
      </c>
      <c r="G353" s="24" t="n">
        <v>248.92</v>
      </c>
      <c r="H353" s="6">
        <f>IF(OR(K353&gt;E353,K353&lt;F353),"FAIL","PASS")</f>
        <v/>
      </c>
      <c r="I353" s="7">
        <f>IF(G353&gt;300,G353-360-D353,G353-D353)</f>
        <v/>
      </c>
      <c r="J353" s="8">
        <f>IF(G353&gt;300,G353-360,0)</f>
        <v/>
      </c>
      <c r="K353" s="8">
        <f>IF(J353=0,G353,J353)</f>
        <v/>
      </c>
    </row>
    <row r="354" ht="15" customHeight="1">
      <c r="A354" s="12" t="n">
        <v>21</v>
      </c>
      <c r="B354" s="12" t="n">
        <v>47</v>
      </c>
      <c r="C354" s="12" t="n">
        <v>23</v>
      </c>
      <c r="D354" s="5" t="n">
        <v>250.73</v>
      </c>
      <c r="E354" s="9">
        <f>D354+1.5</f>
        <v/>
      </c>
      <c r="F354" s="9">
        <f>D354-1.5</f>
        <v/>
      </c>
      <c r="G354" s="24" t="n">
        <v>250.44</v>
      </c>
      <c r="H354" s="6">
        <f>IF(OR(K354&gt;E354,K354&lt;F354),"FAIL","PASS")</f>
        <v/>
      </c>
      <c r="I354" s="7">
        <f>IF(G354&gt;300,G354-360-D354,G354-D354)</f>
        <v/>
      </c>
      <c r="J354" s="8">
        <f>IF(G354&gt;300,G354-360,0)</f>
        <v/>
      </c>
      <c r="K354" s="8">
        <f>IF(J354=0,G354,J354)</f>
        <v/>
      </c>
    </row>
    <row r="355" ht="15" customHeight="1">
      <c r="A355" s="12" t="n">
        <v>20</v>
      </c>
      <c r="B355" s="12" t="n">
        <v>44</v>
      </c>
      <c r="C355" s="12" t="n">
        <v>212</v>
      </c>
      <c r="D355" s="5" t="n">
        <v>252.24</v>
      </c>
      <c r="E355" s="9">
        <f>D355+1.5</f>
        <v/>
      </c>
      <c r="F355" s="9">
        <f>D355-1.5</f>
        <v/>
      </c>
      <c r="G355" s="24" t="n">
        <v>251.94</v>
      </c>
      <c r="H355" s="6">
        <f>IF(OR(K355&gt;E355,K355&lt;F355),"FAIL","PASS")</f>
        <v/>
      </c>
      <c r="I355" s="7">
        <f>IF(G355&gt;300,G355-360-D355,G355-D355)</f>
        <v/>
      </c>
      <c r="J355" s="8">
        <f>IF(G355&gt;300,G355-360,0)</f>
        <v/>
      </c>
      <c r="K355" s="8">
        <f>IF(J355=0,G355,J355)</f>
        <v/>
      </c>
    </row>
    <row r="356" ht="15" customHeight="1">
      <c r="A356" s="12" t="n">
        <v>19</v>
      </c>
      <c r="B356" s="12" t="n">
        <v>42</v>
      </c>
      <c r="C356" s="12" t="n">
        <v>40</v>
      </c>
      <c r="D356" s="5" t="n">
        <v>253.76</v>
      </c>
      <c r="E356" s="9">
        <f>D356+1.5</f>
        <v/>
      </c>
      <c r="F356" s="9">
        <f>D356-1.5</f>
        <v/>
      </c>
      <c r="G356" s="24" t="n">
        <v>253.43</v>
      </c>
      <c r="H356" s="6">
        <f>IF(OR(K356&gt;E356,K356&lt;F356),"FAIL","PASS")</f>
        <v/>
      </c>
      <c r="I356" s="7">
        <f>IF(G356&gt;300,G356-360-D356,G356-D356)</f>
        <v/>
      </c>
      <c r="J356" s="8">
        <f>IF(G356&gt;300,G356-360,0)</f>
        <v/>
      </c>
      <c r="K356" s="8">
        <f>IF(J356=0,G356,J356)</f>
        <v/>
      </c>
    </row>
    <row r="357" ht="15" customHeight="1">
      <c r="A357" s="12" t="n">
        <v>18</v>
      </c>
      <c r="B357" s="12" t="n">
        <v>39</v>
      </c>
      <c r="C357" s="12" t="n">
        <v>228</v>
      </c>
      <c r="D357" s="5" t="n">
        <v>255.27</v>
      </c>
      <c r="E357" s="9">
        <f>D357+1.5</f>
        <v/>
      </c>
      <c r="F357" s="9">
        <f>D357-1.5</f>
        <v/>
      </c>
      <c r="G357" s="24" t="n">
        <v>254.94</v>
      </c>
      <c r="H357" s="6">
        <f>IF(OR(K357&gt;E357,K357&lt;F357),"FAIL","PASS")</f>
        <v/>
      </c>
      <c r="I357" s="7">
        <f>IF(G357&gt;300,G357-360-D357,G357-D357)</f>
        <v/>
      </c>
      <c r="J357" s="8">
        <f>IF(G357&gt;300,G357-360,0)</f>
        <v/>
      </c>
      <c r="K357" s="8">
        <f>IF(J357=0,G357,J357)</f>
        <v/>
      </c>
    </row>
    <row r="358" ht="15" customHeight="1">
      <c r="A358" s="12" t="n">
        <v>17</v>
      </c>
      <c r="B358" s="12" t="n">
        <v>37</v>
      </c>
      <c r="C358" s="12" t="n">
        <v>56</v>
      </c>
      <c r="D358" s="5" t="n">
        <v>256.75</v>
      </c>
      <c r="E358" s="9">
        <f>D358+1.5</f>
        <v/>
      </c>
      <c r="F358" s="9">
        <f>D358-1.5</f>
        <v/>
      </c>
      <c r="G358" s="24" t="n">
        <v>256.41</v>
      </c>
      <c r="H358" s="6">
        <f>IF(OR(K358&gt;E358,K358&lt;F358),"FAIL","PASS")</f>
        <v/>
      </c>
      <c r="I358" s="7">
        <f>IF(G358&gt;300,G358-360-D358,G358-D358)</f>
        <v/>
      </c>
      <c r="J358" s="8">
        <f>IF(G358&gt;300,G358-360,0)</f>
        <v/>
      </c>
      <c r="K358" s="8">
        <f>IF(J358=0,G358,J358)</f>
        <v/>
      </c>
    </row>
    <row r="359" ht="15" customHeight="1">
      <c r="A359" s="12" t="n">
        <v>16</v>
      </c>
      <c r="B359" s="12" t="n">
        <v>34</v>
      </c>
      <c r="C359" s="12" t="n">
        <v>245</v>
      </c>
      <c r="D359" s="5" t="n">
        <v>258.221</v>
      </c>
      <c r="E359" s="9">
        <f>D359+1.5</f>
        <v/>
      </c>
      <c r="F359" s="9">
        <f>D359-1.5</f>
        <v/>
      </c>
      <c r="G359" s="24" t="n">
        <v>257.88</v>
      </c>
      <c r="H359" s="6">
        <f>IF(OR(K359&gt;E359,K359&lt;F359),"FAIL","PASS")</f>
        <v/>
      </c>
      <c r="I359" s="7">
        <f>IF(G359&gt;300,G359-360-D359,G359-D359)</f>
        <v/>
      </c>
      <c r="J359" s="8">
        <f>IF(G359&gt;300,G359-360,0)</f>
        <v/>
      </c>
      <c r="K359" s="8">
        <f>IF(J359=0,G359,J359)</f>
        <v/>
      </c>
    </row>
    <row r="360" ht="15" customHeight="1">
      <c r="A360" s="12" t="n">
        <v>15</v>
      </c>
      <c r="B360" s="12" t="n">
        <v>32</v>
      </c>
      <c r="C360" s="12" t="n">
        <v>73</v>
      </c>
      <c r="D360" s="5" t="n">
        <v>259.7</v>
      </c>
      <c r="E360" s="9">
        <f>D360+1.5</f>
        <v/>
      </c>
      <c r="F360" s="9">
        <f>D360-1.5</f>
        <v/>
      </c>
      <c r="G360" s="24" t="n">
        <v>259.36</v>
      </c>
      <c r="H360" s="6">
        <f>IF(OR(K360&gt;E360,K360&lt;F360),"FAIL","PASS")</f>
        <v/>
      </c>
      <c r="I360" s="7">
        <f>IF(G360&gt;300,G360-360-D360,G360-D360)</f>
        <v/>
      </c>
      <c r="J360" s="8">
        <f>IF(G360&gt;300,G360-360,0)</f>
        <v/>
      </c>
      <c r="K360" s="8">
        <f>IF(J360=0,G360,J360)</f>
        <v/>
      </c>
    </row>
    <row r="361" ht="15" customHeight="1">
      <c r="A361" s="12" t="n">
        <v>14</v>
      </c>
      <c r="B361" s="12" t="n">
        <v>29</v>
      </c>
      <c r="C361" s="12" t="n">
        <v>261</v>
      </c>
      <c r="D361" s="5" t="n">
        <v>261.15</v>
      </c>
      <c r="E361" s="9">
        <f>D361+1.5</f>
        <v/>
      </c>
      <c r="F361" s="9">
        <f>D361-1.5</f>
        <v/>
      </c>
      <c r="G361" s="24" t="n">
        <v>260.76</v>
      </c>
      <c r="H361" s="6">
        <f>IF(OR(K361&gt;E361,K361&lt;F361),"FAIL","PASS")</f>
        <v/>
      </c>
      <c r="I361" s="7">
        <f>IF(G361&gt;300,G361-360-D361,G361-D361)</f>
        <v/>
      </c>
      <c r="J361" s="8">
        <f>IF(G361&gt;300,G361-360,0)</f>
        <v/>
      </c>
      <c r="K361" s="8">
        <f>IF(J361=0,G361,J361)</f>
        <v/>
      </c>
    </row>
    <row r="362" ht="15" customHeight="1">
      <c r="A362" s="12" t="n">
        <v>13</v>
      </c>
      <c r="B362" s="12" t="n">
        <v>27</v>
      </c>
      <c r="C362" s="12" t="n">
        <v>89</v>
      </c>
      <c r="D362" s="5" t="n">
        <v>262.61</v>
      </c>
      <c r="E362" s="9">
        <f>D362+1.5</f>
        <v/>
      </c>
      <c r="F362" s="9">
        <f>D362-1.5</f>
        <v/>
      </c>
      <c r="G362" s="24" t="n">
        <v>262.23</v>
      </c>
      <c r="H362" s="6">
        <f>IF(OR(K362&gt;E362,K362&lt;F362),"FAIL","PASS")</f>
        <v/>
      </c>
      <c r="I362" s="7">
        <f>IF(G362&gt;300,G362-360-D362,G362-D362)</f>
        <v/>
      </c>
      <c r="J362" s="8">
        <f>IF(G362&gt;300,G362-360,0)</f>
        <v/>
      </c>
      <c r="K362" s="8">
        <f>IF(J362=0,G362,J362)</f>
        <v/>
      </c>
    </row>
    <row r="363" ht="15" customHeight="1">
      <c r="A363" s="12" t="n">
        <v>12</v>
      </c>
      <c r="B363" s="12" t="n">
        <v>24</v>
      </c>
      <c r="C363" s="12" t="n">
        <v>278</v>
      </c>
      <c r="D363" s="5" t="n">
        <v>264.06</v>
      </c>
      <c r="E363" s="9">
        <f>D363+1.5</f>
        <v/>
      </c>
      <c r="F363" s="9">
        <f>D363-1.5</f>
        <v/>
      </c>
      <c r="G363" s="24" t="n">
        <v>263.67</v>
      </c>
      <c r="H363" s="6">
        <f>IF(OR(K363&gt;E363,K363&lt;F363),"FAIL","PASS")</f>
        <v/>
      </c>
      <c r="I363" s="7">
        <f>IF(G363&gt;300,G363-360-D363,G363-D363)</f>
        <v/>
      </c>
      <c r="J363" s="8">
        <f>IF(G363&gt;300,G363-360,0)</f>
        <v/>
      </c>
      <c r="K363" s="8">
        <f>IF(J363=0,G363,J363)</f>
        <v/>
      </c>
    </row>
    <row r="364" ht="15" customHeight="1">
      <c r="A364" s="12" t="n">
        <v>11</v>
      </c>
      <c r="B364" s="12" t="n">
        <v>22</v>
      </c>
      <c r="C364" s="12" t="n">
        <v>106</v>
      </c>
      <c r="D364" s="5" t="n">
        <v>265.49</v>
      </c>
      <c r="E364" s="9">
        <f>D364+1.5</f>
        <v/>
      </c>
      <c r="F364" s="9">
        <f>D364-1.5</f>
        <v/>
      </c>
      <c r="G364" s="24" t="n">
        <v>265.22</v>
      </c>
      <c r="H364" s="6">
        <f>IF(OR(K364&gt;E364,K364&lt;F364),"FAIL","PASS")</f>
        <v/>
      </c>
      <c r="I364" s="7">
        <f>IF(G364&gt;300,G364-360-D364,G364-D364)</f>
        <v/>
      </c>
      <c r="J364" s="8">
        <f>IF(G364&gt;300,G364-360,0)</f>
        <v/>
      </c>
      <c r="K364" s="8">
        <f>IF(J364=0,G364,J364)</f>
        <v/>
      </c>
    </row>
    <row r="365" ht="15" customHeight="1">
      <c r="A365" s="12" t="n">
        <v>10</v>
      </c>
      <c r="B365" s="12" t="n">
        <v>19</v>
      </c>
      <c r="C365" s="12" t="n">
        <v>294</v>
      </c>
      <c r="D365" s="5" t="n">
        <v>266.91</v>
      </c>
      <c r="E365" s="9">
        <f>D365+1.5</f>
        <v/>
      </c>
      <c r="F365" s="9">
        <f>D365-1.5</f>
        <v/>
      </c>
      <c r="G365" s="24" t="n">
        <v>266.64</v>
      </c>
      <c r="H365" s="6">
        <f>IF(OR(K365&gt;E365,K365&lt;F365),"FAIL","PASS")</f>
        <v/>
      </c>
      <c r="I365" s="7">
        <f>IF(G365&gt;300,G365-360-D365,G365-D365)</f>
        <v/>
      </c>
      <c r="J365" s="8">
        <f>IF(G365&gt;300,G365-360,0)</f>
        <v/>
      </c>
      <c r="K365" s="8">
        <f>IF(J365=0,G365,J365)</f>
        <v/>
      </c>
    </row>
    <row r="366" ht="15" customHeight="1">
      <c r="A366" s="12" t="n">
        <v>9</v>
      </c>
      <c r="B366" s="12" t="n">
        <v>17</v>
      </c>
      <c r="C366" s="11" t="n">
        <v>122</v>
      </c>
      <c r="D366" s="5" t="n">
        <v>268.29</v>
      </c>
      <c r="E366" s="9">
        <f>D366+1.5</f>
        <v/>
      </c>
      <c r="F366" s="9">
        <f>D366-1.5</f>
        <v/>
      </c>
      <c r="G366" s="24" t="n">
        <v>267.96</v>
      </c>
      <c r="H366" s="6">
        <f>IF(OR(K366&gt;E366,K366&lt;F366),"FAIL","PASS")</f>
        <v/>
      </c>
      <c r="I366" s="7">
        <f>IF(G366&gt;300,G366-360-D366,G366-D366)</f>
        <v/>
      </c>
      <c r="J366" s="8">
        <f>IF(G366&gt;300,G366-360,0)</f>
        <v/>
      </c>
      <c r="K366" s="8">
        <f>IF(J366=0,G366,J366)</f>
        <v/>
      </c>
    </row>
    <row r="367" ht="15" customHeight="1">
      <c r="A367" s="12" t="n">
        <v>8</v>
      </c>
      <c r="B367" s="12" t="n">
        <v>14</v>
      </c>
      <c r="C367" s="12" t="n">
        <v>311</v>
      </c>
      <c r="D367" s="5" t="n">
        <v>268.77</v>
      </c>
      <c r="E367" s="9">
        <f>D367+1.5</f>
        <v/>
      </c>
      <c r="F367" s="9">
        <f>D367-1.5</f>
        <v/>
      </c>
      <c r="G367" s="24" t="n">
        <v>269.5</v>
      </c>
      <c r="H367" s="6">
        <f>IF(OR(K367&gt;E367,K367&lt;F367),"FAIL","PASS")</f>
        <v/>
      </c>
      <c r="I367" s="7">
        <f>IF(G367&gt;300,G367-360-D367,G367-D367)</f>
        <v/>
      </c>
      <c r="J367" s="8">
        <f>IF(G367&gt;300,G367-360,0)</f>
        <v/>
      </c>
      <c r="K367" s="8">
        <f>IF(J367=0,G367,J367)</f>
        <v/>
      </c>
    </row>
    <row r="368" ht="15" customHeight="1">
      <c r="A368" s="12" t="n">
        <v>7</v>
      </c>
      <c r="B368" s="12" t="n">
        <v>14</v>
      </c>
      <c r="C368" s="12" t="n">
        <v>132</v>
      </c>
      <c r="D368" s="5" t="n">
        <v>270</v>
      </c>
      <c r="E368" s="9">
        <f>D368+1.5</f>
        <v/>
      </c>
      <c r="F368" s="9">
        <f>D368-1.5</f>
        <v/>
      </c>
      <c r="G368" s="24" t="n">
        <v>269.87</v>
      </c>
      <c r="H368" s="6">
        <f>IF(OR(K368&gt;E368,K368&lt;F368),"FAIL","PASS")</f>
        <v/>
      </c>
      <c r="I368" s="7">
        <f>IF(G368&gt;300,G368-360-D368,G368-D368)</f>
        <v/>
      </c>
      <c r="J368" s="8">
        <f>IF(G368&gt;300,G368-360,0)</f>
        <v/>
      </c>
      <c r="K368" s="8">
        <f>IF(J368=0,G368,J368)</f>
        <v/>
      </c>
    </row>
    <row r="369" ht="15" customHeight="1">
      <c r="A369" s="12" t="n">
        <v>6</v>
      </c>
      <c r="B369" s="12" t="n">
        <v>12</v>
      </c>
      <c r="C369" s="12" t="n">
        <v>139</v>
      </c>
      <c r="D369" s="5" t="n">
        <v>271.47</v>
      </c>
      <c r="E369" s="9">
        <f>D369+1.5</f>
        <v/>
      </c>
      <c r="F369" s="9">
        <f>D369-1.5</f>
        <v/>
      </c>
      <c r="G369" s="24" t="n">
        <v>271.26</v>
      </c>
      <c r="H369" s="6">
        <f>IF(OR(K369&gt;E369,K369&lt;F369),"FAIL","PASS")</f>
        <v/>
      </c>
      <c r="I369" s="7">
        <f>IF(G369&gt;300,G369-360-D369,G369-D369)</f>
        <v/>
      </c>
      <c r="J369" s="8">
        <f>IF(G369&gt;300,G369-360,0)</f>
        <v/>
      </c>
      <c r="K369" s="8">
        <f>IF(J369=0,G369,J369)</f>
        <v/>
      </c>
    </row>
    <row r="370" ht="15" customHeight="1">
      <c r="A370" s="12" t="n">
        <v>5</v>
      </c>
      <c r="B370" s="12" t="n">
        <v>9</v>
      </c>
      <c r="C370" s="12" t="n">
        <v>327</v>
      </c>
      <c r="D370" s="5" t="n">
        <v>273.05</v>
      </c>
      <c r="E370" s="9">
        <f>D370+1.5</f>
        <v/>
      </c>
      <c r="F370" s="9">
        <f>D370-1.5</f>
        <v/>
      </c>
      <c r="G370" s="24" t="n">
        <v>272.77</v>
      </c>
      <c r="H370" s="6">
        <f>IF(OR(K370&gt;E370,K370&lt;F370),"FAIL","PASS")</f>
        <v/>
      </c>
      <c r="I370" s="7">
        <f>IF(G370&gt;300,G370-360-D370,G370-D370)</f>
        <v/>
      </c>
      <c r="J370" s="8">
        <f>IF(G370&gt;300,G370-360,0)</f>
        <v/>
      </c>
      <c r="K370" s="8">
        <f>IF(J370=0,G370,J370)</f>
        <v/>
      </c>
    </row>
    <row r="371" ht="15" customHeight="1">
      <c r="A371" s="12" t="n">
        <v>4</v>
      </c>
      <c r="B371" s="12" t="n">
        <v>7</v>
      </c>
      <c r="C371" s="12" t="n">
        <v>155</v>
      </c>
      <c r="D371" s="14" t="n">
        <v>274.29</v>
      </c>
      <c r="E371" s="9">
        <f>D371+1.5</f>
        <v/>
      </c>
      <c r="F371" s="9">
        <f>D371-1.5</f>
        <v/>
      </c>
      <c r="G371" s="24" t="n">
        <v>273.92</v>
      </c>
      <c r="H371" s="6">
        <f>IF(OR(K371&gt;E371,K371&lt;F371),"FAIL","PASS")</f>
        <v/>
      </c>
      <c r="I371" s="7">
        <f>IF(G371&gt;300,G371-360-D371,G371-D371)</f>
        <v/>
      </c>
      <c r="J371" s="8">
        <f>IF(G371&gt;300,G371-360,0)</f>
        <v/>
      </c>
      <c r="K371" s="8">
        <f>IF(J371=0,G371,J371)</f>
        <v/>
      </c>
    </row>
    <row r="372" ht="15" customHeight="1">
      <c r="A372" s="12" t="n">
        <v>3</v>
      </c>
      <c r="B372" s="12" t="n">
        <v>4</v>
      </c>
      <c r="C372" s="12" t="n">
        <v>344</v>
      </c>
      <c r="D372" s="14" t="n">
        <v>275.41</v>
      </c>
      <c r="E372" s="9">
        <f>D372+1.5</f>
        <v/>
      </c>
      <c r="F372" s="9">
        <f>D372-1.5</f>
        <v/>
      </c>
      <c r="G372" s="24" t="n">
        <v>275.01</v>
      </c>
      <c r="H372" s="6">
        <f>IF(OR(K372&gt;E372,K372&lt;F372),"FAIL","PASS")</f>
        <v/>
      </c>
      <c r="I372" s="7">
        <f>IF(G372&gt;300,G372-360-D372,G372-D372)</f>
        <v/>
      </c>
      <c r="J372" s="8">
        <f>IF(G372&gt;300,G372-360,0)</f>
        <v/>
      </c>
      <c r="K372" s="8">
        <f>IF(J372=0,G372,J372)</f>
        <v/>
      </c>
    </row>
    <row r="373" ht="15" customHeight="1">
      <c r="A373" s="12" t="n">
        <v>2</v>
      </c>
      <c r="B373" s="12" t="n">
        <v>2</v>
      </c>
      <c r="C373" s="12" t="n">
        <v>172</v>
      </c>
      <c r="D373" s="5" t="n">
        <v>276.3</v>
      </c>
      <c r="E373" s="9">
        <f>D373+1.5</f>
        <v/>
      </c>
      <c r="F373" s="9">
        <f>D373-1.5</f>
        <v/>
      </c>
      <c r="G373" s="24" t="n">
        <v>276.07</v>
      </c>
      <c r="H373" s="6">
        <f>IF(OR(K373&gt;E373,K373&lt;F373),"FAIL","PASS")</f>
        <v/>
      </c>
      <c r="I373" s="7">
        <f>IF(G373&gt;300,G373-360-D373,G373-D373)</f>
        <v/>
      </c>
      <c r="J373" s="8">
        <f>IF(G373&gt;300,G373-360,0)</f>
        <v/>
      </c>
      <c r="K373" s="8">
        <f>IF(J373=0,G373,J373)</f>
        <v/>
      </c>
    </row>
    <row r="374" ht="15" customHeight="1">
      <c r="A374" s="11" t="inlineStr">
        <is>
          <t>1 (Rig)</t>
        </is>
      </c>
      <c r="B374" s="12" t="n">
        <v>0</v>
      </c>
      <c r="C374" s="13" t="n">
        <v>0</v>
      </c>
      <c r="D374" s="4" t="n">
        <v>277</v>
      </c>
      <c r="E374" s="4">
        <f>D374+1.5</f>
        <v/>
      </c>
      <c r="F374" s="4">
        <f>D374-1.5</f>
        <v/>
      </c>
      <c r="G374" s="24" t="n">
        <v>276.9</v>
      </c>
      <c r="H374" s="6">
        <f>IF(OR(K374&gt;E374,K374&lt;F374),"FAIL","PASS")</f>
        <v/>
      </c>
      <c r="I374" s="7">
        <f>IF(G374&gt;300,G374-360-D374,G374-D374)</f>
        <v/>
      </c>
      <c r="J374" s="8">
        <f>IF(G374&gt;300,G374-360,0)</f>
        <v/>
      </c>
      <c r="K374" s="8">
        <f>IF(J374=0,G374,J374)</f>
        <v/>
      </c>
    </row>
  </sheetData>
  <mergeCells count="22">
    <mergeCell ref="F4:G4"/>
    <mergeCell ref="H9:H10"/>
    <mergeCell ref="J9:J10"/>
    <mergeCell ref="F6:G6"/>
    <mergeCell ref="F3:G3"/>
    <mergeCell ref="D6:E6"/>
    <mergeCell ref="C9:C10"/>
    <mergeCell ref="E9:E10"/>
    <mergeCell ref="A2:I2"/>
    <mergeCell ref="F5:G5"/>
    <mergeCell ref="B9:B10"/>
    <mergeCell ref="A7:I8"/>
    <mergeCell ref="D9:D10"/>
    <mergeCell ref="F9:F10"/>
    <mergeCell ref="D4:E4"/>
    <mergeCell ref="D3:E3"/>
    <mergeCell ref="G9:G10"/>
    <mergeCell ref="I9:I10"/>
    <mergeCell ref="K9:K10"/>
    <mergeCell ref="A9:A10"/>
    <mergeCell ref="D5:E5"/>
    <mergeCell ref="A1:I1"/>
  </mergeCells>
  <conditionalFormatting sqref="H11:H374">
    <cfRule type="containsText" priority="1" operator="containsText" dxfId="5" text="PASS">
      <formula>NOT(ISERROR(SEARCH("PASS",H11)))</formula>
    </cfRule>
    <cfRule type="containsText" priority="2" operator="containsText" dxfId="4" text="FAIL">
      <formula>NOT(ISERROR(SEARCH("FAIL",H11)))</formula>
    </cfRule>
  </conditionalFormatting>
  <conditionalFormatting sqref="I11:I374">
    <cfRule type="expression" priority="3" dxfId="3">
      <formula>I11&lt;0</formula>
    </cfRule>
    <cfRule type="expression" priority="4" dxfId="2">
      <formula>I11&gt;1.5</formula>
    </cfRule>
    <cfRule type="expression" priority="5" dxfId="1">
      <formula>I11&gt;0</formula>
    </cfRule>
    <cfRule type="expression" priority="6" dxfId="0">
      <formula>I11&lt;-1.5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ATE AVIONICS</dc:creator>
  <dcterms:created xsi:type="dcterms:W3CDTF">2026-03-31T01:15:01Z</dcterms:created>
  <dcterms:modified xsi:type="dcterms:W3CDTF">2026-10-16T07:46:31Z</dcterms:modified>
  <cp:lastModifiedBy>ATE AVIONICS</cp:lastModifiedBy>
  <cp:lastPrinted>2026-07-24T04:12:52Z</cp:lastPrinted>
</cp:coreProperties>
</file>